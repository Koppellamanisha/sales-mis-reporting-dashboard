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ju\OneDrive\Documents\"/>
    </mc:Choice>
  </mc:AlternateContent>
  <xr:revisionPtr revIDLastSave="0" documentId="8_{B4158B90-FBBA-4368-93B3-708A011BB2AD}" xr6:coauthVersionLast="47" xr6:coauthVersionMax="47" xr10:uidLastSave="{00000000-0000-0000-0000-000000000000}"/>
  <bookViews>
    <workbookView xWindow="-120" yWindow="-120" windowWidth="20730" windowHeight="11160" activeTab="3" xr2:uid="{73F076BA-5B7F-4D39-A1A8-C85FE872CC66}"/>
  </bookViews>
  <sheets>
    <sheet name="Pivot Analysis" sheetId="7" r:id="rId1"/>
    <sheet name="Sales_Data" sheetId="1" r:id="rId2"/>
    <sheet name="MIS_Report" sheetId="2" r:id="rId3"/>
    <sheet name="Dashboard" sheetId="9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2" l="1"/>
  <c r="C12" i="2"/>
  <c r="B13" i="2"/>
  <c r="C13" i="2"/>
  <c r="B14" i="2"/>
  <c r="C14" i="2"/>
  <c r="B15" i="2"/>
  <c r="C15" i="2"/>
  <c r="B16" i="2"/>
  <c r="C16" i="2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O2" i="1"/>
  <c r="B39" i="2"/>
  <c r="B38" i="2"/>
  <c r="B37" i="2"/>
  <c r="B33" i="2"/>
  <c r="B32" i="2"/>
  <c r="B31" i="2"/>
  <c r="B30" i="2"/>
  <c r="B26" i="2"/>
  <c r="B25" i="2"/>
  <c r="B24" i="2"/>
  <c r="B23" i="2"/>
  <c r="B22" i="2"/>
  <c r="J2" i="1"/>
  <c r="B4" i="2"/>
  <c r="B3" i="2"/>
  <c r="M6" i="1"/>
  <c r="M15" i="1"/>
  <c r="M46" i="1"/>
  <c r="M33" i="1"/>
  <c r="M47" i="1"/>
  <c r="M14" i="1"/>
  <c r="M39" i="1"/>
  <c r="M11" i="1"/>
  <c r="M20" i="1"/>
  <c r="M31" i="1"/>
  <c r="M8" i="1"/>
  <c r="M45" i="1"/>
  <c r="M25" i="1"/>
  <c r="M32" i="1"/>
  <c r="M34" i="1"/>
  <c r="M5" i="1"/>
  <c r="M43" i="1"/>
  <c r="M41" i="1"/>
  <c r="M17" i="1"/>
  <c r="M18" i="1"/>
  <c r="M30" i="1"/>
  <c r="M7" i="1"/>
  <c r="M36" i="1"/>
  <c r="M35" i="1"/>
  <c r="M10" i="1"/>
  <c r="M23" i="1"/>
  <c r="M27" i="1"/>
  <c r="M13" i="1"/>
  <c r="M28" i="1"/>
  <c r="M38" i="1"/>
  <c r="M26" i="1"/>
  <c r="M21" i="1"/>
  <c r="M48" i="1"/>
  <c r="M37" i="1"/>
  <c r="M2" i="1"/>
  <c r="M9" i="1"/>
  <c r="M49" i="1"/>
  <c r="M12" i="1"/>
  <c r="M42" i="1"/>
  <c r="M3" i="1"/>
  <c r="M29" i="1"/>
  <c r="M19" i="1"/>
  <c r="M50" i="1"/>
  <c r="M24" i="1"/>
  <c r="M22" i="1"/>
  <c r="M44" i="1"/>
  <c r="M4" i="1"/>
  <c r="M40" i="1"/>
  <c r="M16" i="1"/>
  <c r="J6" i="1"/>
  <c r="J15" i="1"/>
  <c r="J46" i="1"/>
  <c r="J33" i="1"/>
  <c r="J47" i="1"/>
  <c r="J14" i="1"/>
  <c r="J39" i="1"/>
  <c r="J11" i="1"/>
  <c r="J20" i="1"/>
  <c r="J31" i="1"/>
  <c r="J8" i="1"/>
  <c r="J45" i="1"/>
  <c r="J25" i="1"/>
  <c r="J32" i="1"/>
  <c r="J34" i="1"/>
  <c r="J5" i="1"/>
  <c r="J43" i="1"/>
  <c r="J41" i="1"/>
  <c r="J17" i="1"/>
  <c r="J18" i="1"/>
  <c r="J30" i="1"/>
  <c r="J7" i="1"/>
  <c r="J36" i="1"/>
  <c r="J35" i="1"/>
  <c r="J10" i="1"/>
  <c r="J23" i="1"/>
  <c r="J27" i="1"/>
  <c r="J13" i="1"/>
  <c r="J28" i="1"/>
  <c r="J38" i="1"/>
  <c r="J26" i="1"/>
  <c r="J21" i="1"/>
  <c r="J48" i="1"/>
  <c r="J37" i="1"/>
  <c r="J9" i="1"/>
  <c r="J49" i="1"/>
  <c r="J12" i="1"/>
  <c r="J42" i="1"/>
  <c r="J3" i="1"/>
  <c r="J29" i="1"/>
  <c r="J19" i="1"/>
  <c r="J50" i="1"/>
  <c r="J24" i="1"/>
  <c r="J22" i="1"/>
  <c r="J44" i="1"/>
  <c r="J4" i="1"/>
  <c r="J40" i="1"/>
  <c r="J16" i="1"/>
  <c r="C37" i="2" l="1"/>
  <c r="B47" i="2"/>
  <c r="C38" i="2"/>
  <c r="C39" i="2"/>
  <c r="B5" i="2"/>
  <c r="O44" i="1"/>
  <c r="O19" i="1"/>
  <c r="O12" i="1"/>
  <c r="O37" i="1"/>
  <c r="O38" i="1"/>
  <c r="O23" i="1"/>
  <c r="O7" i="1"/>
  <c r="C30" i="2" s="1"/>
  <c r="O41" i="1"/>
  <c r="O32" i="1"/>
  <c r="O31" i="1"/>
  <c r="O14" i="1"/>
  <c r="O15" i="1"/>
  <c r="O40" i="1"/>
  <c r="O24" i="1"/>
  <c r="O3" i="1"/>
  <c r="O9" i="1"/>
  <c r="O21" i="1"/>
  <c r="O13" i="1"/>
  <c r="O35" i="1"/>
  <c r="O18" i="1"/>
  <c r="O5" i="1"/>
  <c r="O45" i="1"/>
  <c r="O11" i="1"/>
  <c r="O33" i="1"/>
  <c r="O22" i="1"/>
  <c r="O29" i="1"/>
  <c r="O49" i="1"/>
  <c r="O48" i="1"/>
  <c r="O28" i="1"/>
  <c r="O10" i="1"/>
  <c r="O30" i="1"/>
  <c r="O43" i="1"/>
  <c r="O25" i="1"/>
  <c r="O20" i="1"/>
  <c r="O47" i="1"/>
  <c r="O6" i="1"/>
  <c r="O4" i="1"/>
  <c r="O50" i="1"/>
  <c r="O42" i="1"/>
  <c r="N2" i="1"/>
  <c r="O26" i="1"/>
  <c r="O27" i="1"/>
  <c r="O36" i="1"/>
  <c r="O17" i="1"/>
  <c r="O34" i="1"/>
  <c r="O8" i="1"/>
  <c r="O39" i="1"/>
  <c r="O46" i="1"/>
  <c r="C25" i="2" l="1"/>
  <c r="C33" i="2"/>
  <c r="C22" i="2"/>
  <c r="C32" i="2"/>
  <c r="C24" i="2"/>
  <c r="C31" i="2"/>
  <c r="C26" i="2"/>
  <c r="O16" i="1"/>
  <c r="B6" i="2"/>
  <c r="B46" i="2" l="1"/>
  <c r="B44" i="2"/>
  <c r="C23" i="2"/>
  <c r="B48" i="2" s="1"/>
  <c r="B45" i="2"/>
  <c r="B43" i="2"/>
  <c r="B8" i="2"/>
  <c r="B7" i="2"/>
</calcChain>
</file>

<file path=xl/sharedStrings.xml><?xml version="1.0" encoding="utf-8"?>
<sst xmlns="http://schemas.openxmlformats.org/spreadsheetml/2006/main" count="462" uniqueCount="133">
  <si>
    <t>Order Id</t>
  </si>
  <si>
    <t>Order Date</t>
  </si>
  <si>
    <t>Salesperson</t>
  </si>
  <si>
    <t>Region</t>
  </si>
  <si>
    <t>Product</t>
  </si>
  <si>
    <t>Category</t>
  </si>
  <si>
    <t>Quantity</t>
  </si>
  <si>
    <t>Unit Price</t>
  </si>
  <si>
    <t>Payment Mode</t>
  </si>
  <si>
    <t>Order Status</t>
  </si>
  <si>
    <t>ORD001</t>
  </si>
  <si>
    <t>Rahul</t>
  </si>
  <si>
    <t>South</t>
  </si>
  <si>
    <t>Laptop</t>
  </si>
  <si>
    <t>Electronics</t>
  </si>
  <si>
    <t>UPI</t>
  </si>
  <si>
    <t>Completed</t>
  </si>
  <si>
    <t>ORD002</t>
  </si>
  <si>
    <t xml:space="preserve">priya </t>
  </si>
  <si>
    <t>North</t>
  </si>
  <si>
    <t>Monitor</t>
  </si>
  <si>
    <t>Credit Card</t>
  </si>
  <si>
    <t>ORD003</t>
  </si>
  <si>
    <t>Amit</t>
  </si>
  <si>
    <t>East</t>
  </si>
  <si>
    <t>Keyboard</t>
  </si>
  <si>
    <t>Accessories</t>
  </si>
  <si>
    <t>ORD004</t>
  </si>
  <si>
    <t>Sneha</t>
  </si>
  <si>
    <t>West</t>
  </si>
  <si>
    <t>Printer</t>
  </si>
  <si>
    <t>Office Equipment</t>
  </si>
  <si>
    <t>Debit Card</t>
  </si>
  <si>
    <t>Pending</t>
  </si>
  <si>
    <t>ORD005</t>
  </si>
  <si>
    <t>Kiran</t>
  </si>
  <si>
    <t>Mouse</t>
  </si>
  <si>
    <t>Cash</t>
  </si>
  <si>
    <t>ORD006</t>
  </si>
  <si>
    <t>Bank Transfer</t>
  </si>
  <si>
    <t>ORD007</t>
  </si>
  <si>
    <t>Headset</t>
  </si>
  <si>
    <t>Cancelled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</si>
  <si>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</si>
  <si>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</si>
  <si>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</si>
  <si>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</si>
  <si>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</si>
  <si>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</si>
  <si>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</si>
  <si>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</si>
  <si>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</si>
  <si>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</si>
  <si>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</si>
  <si>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</si>
  <si>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</si>
  <si>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</si>
  <si>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</si>
  <si>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</si>
  <si>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</si>
  <si>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</si>
  <si>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</si>
  <si>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</si>
  <si>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</si>
  <si>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</si>
  <si>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</si>
  <si>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</si>
  <si>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</si>
  <si>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</si>
  <si>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</si>
  <si>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</si>
  <si>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</si>
  <si>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</si>
  <si>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</si>
  <si>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</si>
  <si>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</si>
  <si>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</si>
  <si>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</si>
  <si>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keyboard</t>
  </si>
  <si>
    <t>ORD043</t>
  </si>
  <si>
    <t>ORD044</t>
  </si>
  <si>
    <t>ORD045</t>
  </si>
  <si>
    <t>ORD046</t>
  </si>
  <si>
    <t>ORD047</t>
  </si>
  <si>
    <t>laptop</t>
  </si>
  <si>
    <t>ORD048</t>
  </si>
  <si>
    <t>ORD049</t>
  </si>
  <si>
    <t>Discount %2</t>
  </si>
  <si>
    <t>Discount</t>
  </si>
  <si>
    <t>Sales  Amount</t>
  </si>
  <si>
    <t>Discount Amount</t>
  </si>
  <si>
    <t>Net Sales</t>
  </si>
  <si>
    <t>SALES MIS REPORT</t>
  </si>
  <si>
    <t>KPI</t>
  </si>
  <si>
    <t>Total Orders</t>
  </si>
  <si>
    <t>Total Quantity Sold</t>
  </si>
  <si>
    <t>Total Sales Amount</t>
  </si>
  <si>
    <t>Total Discount</t>
  </si>
  <si>
    <t>Total Net Sales</t>
  </si>
  <si>
    <t>Average Order Value</t>
  </si>
  <si>
    <t>Value</t>
  </si>
  <si>
    <t>Salesperson Performance</t>
  </si>
  <si>
    <t>Priya</t>
  </si>
  <si>
    <t>Product Performance</t>
  </si>
  <si>
    <t>Quantity Sold</t>
  </si>
  <si>
    <t>Total Net sales</t>
  </si>
  <si>
    <t>Management Insight</t>
  </si>
  <si>
    <t>Result</t>
  </si>
  <si>
    <t>Lowest salesperson</t>
  </si>
  <si>
    <t>Lowest Region</t>
  </si>
  <si>
    <t>Best Selling Product</t>
  </si>
  <si>
    <t>Highest Revenue Product</t>
  </si>
  <si>
    <t>Order Status Analysis</t>
  </si>
  <si>
    <t>Number of Orders</t>
  </si>
  <si>
    <t>Region Performance</t>
  </si>
  <si>
    <t>% of Total Orders</t>
  </si>
  <si>
    <t>Grand Total</t>
  </si>
  <si>
    <t>Sum of Net Sales</t>
  </si>
  <si>
    <t>Sum of Quantity</t>
  </si>
  <si>
    <t>Count of Order Id</t>
  </si>
  <si>
    <t>Monthly Sales</t>
  </si>
  <si>
    <t>Sep</t>
  </si>
  <si>
    <t>Oct</t>
  </si>
  <si>
    <t>Top Salesperson</t>
  </si>
  <si>
    <t>Top Region</t>
  </si>
  <si>
    <t>Most Common Order Status</t>
  </si>
  <si>
    <t>Best Month</t>
  </si>
  <si>
    <t>October</t>
  </si>
  <si>
    <t>Recommendation</t>
  </si>
  <si>
    <t>Focus on Laptop sales and the East Region and identify the strategies that helped achieve strong october month</t>
  </si>
  <si>
    <t>Sales MIS Dashboard</t>
  </si>
  <si>
    <t>Salesperson  Performance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</si>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</sst>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1A365D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1" applyNumberFormat="1" applyFont="1"/>
    <xf numFmtId="14" fontId="0" fillId="0" borderId="0" xfId="0" applyNumberFormat="1"/>
    <xf numFmtId="9" fontId="0" fillId="0" borderId="0" xfId="1" applyFon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2" borderId="0" xfId="0" applyFill="1"/>
    <xf numFmtId="164" fontId="0" fillId="2" borderId="0" xfId="0" applyNumberForma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164" formatCode="&quot;₹&quot;\ #,##0"/>
    </dxf>
    <dxf>
      <numFmt numFmtId="164" formatCode="&quot;₹&quot;\ #,##0"/>
    </dxf>
    <dxf>
      <numFmt numFmtId="164" formatCode="&quot;₹&quot;\ #,##0"/>
    </dxf>
    <dxf>
      <numFmt numFmtId="19" formatCode="dd/mm/yyyy"/>
    </dxf>
  </dxfs>
  <tableStyles count="0" defaultTableStyle="TableStyleMedium2" defaultPivotStyle="PivotStyleLight16"/>
  <colors>
    <mruColors>
      <color rgb="FF1A365D"/>
      <color rgb="FF666699"/>
      <color rgb="FF1E293B"/>
      <color rgb="FF1C1C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[Sales_MIS_Reporting_Dashboard.xlsx]Pivot Analysis!PivotTable1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Salesperson</a:t>
            </a:r>
            <a:r>
              <a:rPr lang="en-IN" b="1" baseline="0"/>
              <a:t> Perfomance - Net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Sum of 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Analysis'!$A$4:$A$9</c:f>
              <c:strCache>
                <c:ptCount val="5"/>
                <c:pt idx="0">
                  <c:v>Kiran</c:v>
                </c:pt>
                <c:pt idx="1">
                  <c:v>priya </c:v>
                </c:pt>
                <c:pt idx="2">
                  <c:v>Rahul</c:v>
                </c:pt>
                <c:pt idx="3">
                  <c:v>Sneha</c:v>
                </c:pt>
                <c:pt idx="4">
                  <c:v>Amit</c:v>
                </c:pt>
              </c:strCache>
            </c:strRef>
          </c:cat>
          <c:val>
            <c:numRef>
              <c:f>'Pivot Analysis'!$B$4:$B$9</c:f>
              <c:numCache>
                <c:formatCode>"₹"\ #,##0</c:formatCode>
                <c:ptCount val="5"/>
                <c:pt idx="0">
                  <c:v>1671741</c:v>
                </c:pt>
                <c:pt idx="1">
                  <c:v>906435</c:v>
                </c:pt>
                <c:pt idx="2">
                  <c:v>638490</c:v>
                </c:pt>
                <c:pt idx="3">
                  <c:v>312985</c:v>
                </c:pt>
                <c:pt idx="4">
                  <c:v>299331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4-4841-AFC9-42B64AD3F6A0}"/>
            </c:ext>
          </c:extLst>
        </c:ser>
        <c:ser>
          <c:idx val="1"/>
          <c:order val="1"/>
          <c:tx>
            <c:strRef>
              <c:f>'Pivot Analysis'!$C$3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Analysis'!$A$4:$A$9</c:f>
              <c:strCache>
                <c:ptCount val="5"/>
                <c:pt idx="0">
                  <c:v>Kiran</c:v>
                </c:pt>
                <c:pt idx="1">
                  <c:v>priya </c:v>
                </c:pt>
                <c:pt idx="2">
                  <c:v>Rahul</c:v>
                </c:pt>
                <c:pt idx="3">
                  <c:v>Sneha</c:v>
                </c:pt>
                <c:pt idx="4">
                  <c:v>Amit</c:v>
                </c:pt>
              </c:strCache>
            </c:strRef>
          </c:cat>
          <c:val>
            <c:numRef>
              <c:f>'Pivot Analysis'!$C$4:$C$9</c:f>
              <c:numCache>
                <c:formatCode>General</c:formatCode>
                <c:ptCount val="5"/>
                <c:pt idx="0">
                  <c:v>76</c:v>
                </c:pt>
                <c:pt idx="1">
                  <c:v>75</c:v>
                </c:pt>
                <c:pt idx="2">
                  <c:v>60</c:v>
                </c:pt>
                <c:pt idx="3">
                  <c:v>62</c:v>
                </c:pt>
                <c:pt idx="4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4-4841-AFC9-42B64AD3F6A0}"/>
            </c:ext>
          </c:extLst>
        </c:ser>
        <c:ser>
          <c:idx val="2"/>
          <c:order val="2"/>
          <c:tx>
            <c:strRef>
              <c:f>'Pivot Analysis'!$D$3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Analysis'!$A$4:$A$9</c:f>
              <c:strCache>
                <c:ptCount val="5"/>
                <c:pt idx="0">
                  <c:v>Kiran</c:v>
                </c:pt>
                <c:pt idx="1">
                  <c:v>priya </c:v>
                </c:pt>
                <c:pt idx="2">
                  <c:v>Rahul</c:v>
                </c:pt>
                <c:pt idx="3">
                  <c:v>Sneha</c:v>
                </c:pt>
                <c:pt idx="4">
                  <c:v>Amit</c:v>
                </c:pt>
              </c:strCache>
            </c:strRef>
          </c:cat>
          <c:val>
            <c:numRef>
              <c:f>'Pivot Analysis'!$D$4:$D$9</c:f>
              <c:numCache>
                <c:formatCode>General</c:formatCode>
                <c:ptCount val="5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4-4841-AFC9-42B64AD3F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904792"/>
        <c:axId val="520910912"/>
      </c:barChart>
      <c:catAx>
        <c:axId val="520904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10912"/>
        <c:crosses val="autoZero"/>
        <c:auto val="1"/>
        <c:lblAlgn val="ctr"/>
        <c:lblOffset val="100"/>
        <c:noMultiLvlLbl val="0"/>
      </c:catAx>
      <c:valAx>
        <c:axId val="52091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90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[Sales_MIS_Reporting_Dashboard.xlsx]Pivot 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Product</a:t>
            </a:r>
            <a:r>
              <a:rPr lang="en-IN" b="1" baseline="0"/>
              <a:t> Performance - Net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Analysis'!$B$14</c:f>
              <c:strCache>
                <c:ptCount val="1"/>
                <c:pt idx="0">
                  <c:v>Sum of 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Analysis'!$A$15:$A$21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Headset</c:v>
                </c:pt>
                <c:pt idx="4">
                  <c:v>keyboard</c:v>
                </c:pt>
                <c:pt idx="5">
                  <c:v>Mouse</c:v>
                </c:pt>
              </c:strCache>
            </c:strRef>
          </c:cat>
          <c:val>
            <c:numRef>
              <c:f>'Pivot Analysis'!$B$15:$B$21</c:f>
              <c:numCache>
                <c:formatCode>"₹"\ #,##0</c:formatCode>
                <c:ptCount val="6"/>
                <c:pt idx="0">
                  <c:v>2593250</c:v>
                </c:pt>
                <c:pt idx="1">
                  <c:v>411300</c:v>
                </c:pt>
                <c:pt idx="2">
                  <c:v>302125</c:v>
                </c:pt>
                <c:pt idx="3">
                  <c:v>225015</c:v>
                </c:pt>
                <c:pt idx="4">
                  <c:v>189100</c:v>
                </c:pt>
                <c:pt idx="5">
                  <c:v>108192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B-489E-B321-86491760E5DC}"/>
            </c:ext>
          </c:extLst>
        </c:ser>
        <c:ser>
          <c:idx val="1"/>
          <c:order val="1"/>
          <c:tx>
            <c:strRef>
              <c:f>'Pivot Analysis'!$C$14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Analysis'!$A$15:$A$21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Headset</c:v>
                </c:pt>
                <c:pt idx="4">
                  <c:v>keyboard</c:v>
                </c:pt>
                <c:pt idx="5">
                  <c:v>Mouse</c:v>
                </c:pt>
              </c:strCache>
            </c:strRef>
          </c:cat>
          <c:val>
            <c:numRef>
              <c:f>'Pivot Analysis'!$C$15:$C$21</c:f>
              <c:numCache>
                <c:formatCode>General</c:formatCode>
                <c:ptCount val="6"/>
                <c:pt idx="0">
                  <c:v>49</c:v>
                </c:pt>
                <c:pt idx="1">
                  <c:v>24</c:v>
                </c:pt>
                <c:pt idx="2">
                  <c:v>25</c:v>
                </c:pt>
                <c:pt idx="3">
                  <c:v>66</c:v>
                </c:pt>
                <c:pt idx="4">
                  <c:v>79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B-489E-B321-86491760E5DC}"/>
            </c:ext>
          </c:extLst>
        </c:ser>
        <c:ser>
          <c:idx val="2"/>
          <c:order val="2"/>
          <c:tx>
            <c:strRef>
              <c:f>'Pivot Analysis'!$D$14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Analysis'!$A$15:$A$21</c:f>
              <c:strCache>
                <c:ptCount val="6"/>
                <c:pt idx="0">
                  <c:v>Laptop</c:v>
                </c:pt>
                <c:pt idx="1">
                  <c:v>Monitor</c:v>
                </c:pt>
                <c:pt idx="2">
                  <c:v>Printer</c:v>
                </c:pt>
                <c:pt idx="3">
                  <c:v>Headset</c:v>
                </c:pt>
                <c:pt idx="4">
                  <c:v>keyboard</c:v>
                </c:pt>
                <c:pt idx="5">
                  <c:v>Mouse</c:v>
                </c:pt>
              </c:strCache>
            </c:strRef>
          </c:cat>
          <c:val>
            <c:numRef>
              <c:f>'Pivot Analysis'!$D$15:$D$21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9B-489E-B321-86491760E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2375184"/>
        <c:axId val="512375904"/>
      </c:barChart>
      <c:catAx>
        <c:axId val="51237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375904"/>
        <c:crosses val="autoZero"/>
        <c:auto val="1"/>
        <c:lblAlgn val="ctr"/>
        <c:lblOffset val="100"/>
        <c:noMultiLvlLbl val="0"/>
      </c:catAx>
      <c:valAx>
        <c:axId val="51237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37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[Sales_MIS_Reporting_Dashboard.xlsx]Pivot 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Region</a:t>
            </a:r>
            <a:r>
              <a:rPr lang="en-IN" b="1" baseline="0"/>
              <a:t> Performance- Net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Analysis'!$B$25</c:f>
              <c:strCache>
                <c:ptCount val="1"/>
                <c:pt idx="0">
                  <c:v>Sum of 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Analysis'!$A$26:$A$30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'Pivot Analysis'!$B$26:$B$30</c:f>
              <c:numCache>
                <c:formatCode>"₹"\ #,##0</c:formatCode>
                <c:ptCount val="4"/>
                <c:pt idx="0">
                  <c:v>1710885</c:v>
                </c:pt>
                <c:pt idx="1">
                  <c:v>1190911</c:v>
                </c:pt>
                <c:pt idx="2">
                  <c:v>476806</c:v>
                </c:pt>
                <c:pt idx="3">
                  <c:v>450380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4A-4307-AFCB-2428B4BDF407}"/>
            </c:ext>
          </c:extLst>
        </c:ser>
        <c:ser>
          <c:idx val="1"/>
          <c:order val="1"/>
          <c:tx>
            <c:strRef>
              <c:f>'Pivot Analysis'!$C$25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Analysis'!$A$26:$A$30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'Pivot Analysis'!$C$26:$C$30</c:f>
              <c:numCache>
                <c:formatCode>General</c:formatCode>
                <c:ptCount val="4"/>
                <c:pt idx="0">
                  <c:v>70</c:v>
                </c:pt>
                <c:pt idx="1">
                  <c:v>104</c:v>
                </c:pt>
                <c:pt idx="2">
                  <c:v>99</c:v>
                </c:pt>
                <c:pt idx="3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4A-4307-AFCB-2428B4BDF407}"/>
            </c:ext>
          </c:extLst>
        </c:ser>
        <c:ser>
          <c:idx val="2"/>
          <c:order val="2"/>
          <c:tx>
            <c:strRef>
              <c:f>'Pivot Analysis'!$D$25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Analysis'!$A$26:$A$30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'Pivot Analysis'!$D$26:$D$30</c:f>
              <c:numCache>
                <c:formatCode>General</c:formatCode>
                <c:ptCount val="4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4A-4307-AFCB-2428B4BDF4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399816"/>
        <c:axId val="395403056"/>
      </c:barChart>
      <c:catAx>
        <c:axId val="395399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403056"/>
        <c:crosses val="autoZero"/>
        <c:auto val="1"/>
        <c:lblAlgn val="ctr"/>
        <c:lblOffset val="100"/>
        <c:noMultiLvlLbl val="0"/>
      </c:catAx>
      <c:valAx>
        <c:axId val="39540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399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[Sales_MIS_Reporting_Dashboard.xlsx]Pivot Analysis!PivotTable5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Order</a:t>
            </a:r>
            <a:r>
              <a:rPr lang="en-IN" b="1" baseline="0"/>
              <a:t> Status Analysis</a:t>
            </a:r>
          </a:p>
        </c:rich>
      </c:tx>
      <c:layout>
        <c:manualLayout>
          <c:xMode val="edge"/>
          <c:yMode val="edge"/>
          <c:x val="0.28293752570695557"/>
          <c:y val="5.07526261734445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4253439485731162"/>
          <c:y val="0.17432494279176206"/>
          <c:w val="0.41287698129563821"/>
          <c:h val="0.77990846681922199"/>
        </c:manualLayout>
      </c:layout>
      <c:doughnutChart>
        <c:varyColors val="1"/>
        <c:ser>
          <c:idx val="0"/>
          <c:order val="0"/>
          <c:tx>
            <c:strRef>
              <c:f>'Pivot Analysis'!$B$34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E5-4BA1-81B3-1C631D7668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E5-4BA1-81B3-1C631D7668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E5-4BA1-81B3-1C631D766840}"/>
              </c:ext>
            </c:extLst>
          </c:dPt>
          <c:cat>
            <c:strRef>
              <c:f>'Pivot Analysis'!$A$35:$A$38</c:f>
              <c:strCache>
                <c:ptCount val="3"/>
                <c:pt idx="0">
                  <c:v>Completed</c:v>
                </c:pt>
                <c:pt idx="1">
                  <c:v>Cancelled</c:v>
                </c:pt>
                <c:pt idx="2">
                  <c:v>Pending</c:v>
                </c:pt>
              </c:strCache>
            </c:strRef>
          </c:cat>
          <c:val>
            <c:numRef>
              <c:f>'Pivot Analysis'!$B$35:$B$38</c:f>
              <c:numCache>
                <c:formatCode>General</c:formatCode>
                <c:ptCount val="3"/>
                <c:pt idx="0">
                  <c:v>34</c:v>
                </c:pt>
                <c:pt idx="1">
                  <c:v>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0E5-4BA1-81B3-1C631D766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[Sales_MIS_Reporting_Dashboard.xlsx]Pivot Analysis!PivotTable6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Monthly</a:t>
            </a:r>
            <a:r>
              <a:rPr lang="en-IN" b="1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Analysis'!$B$42</c:f>
              <c:strCache>
                <c:ptCount val="1"/>
                <c:pt idx="0">
                  <c:v>Sum of Net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Analysis'!$A$43:$A$45</c:f>
              <c:strCache>
                <c:ptCount val="2"/>
                <c:pt idx="0">
                  <c:v>Sep</c:v>
                </c:pt>
                <c:pt idx="1">
                  <c:v>Oct</c:v>
                </c:pt>
              </c:strCache>
            </c:strRef>
          </c:cat>
          <c:val>
            <c:numRef>
              <c:f>'Pivot Analysis'!$B$43:$B$45</c:f>
              <c:numCache>
                <c:formatCode>"₹"\ #,##0</c:formatCode>
                <c:ptCount val="2"/>
                <c:pt idx="0">
                  <c:v>1301441</c:v>
                </c:pt>
                <c:pt idx="1">
                  <c:v>2527541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87-4D44-A0AF-9C0513120508}"/>
            </c:ext>
          </c:extLst>
        </c:ser>
        <c:ser>
          <c:idx val="1"/>
          <c:order val="1"/>
          <c:tx>
            <c:strRef>
              <c:f>'Pivot Analysis'!$C$42</c:f>
              <c:strCache>
                <c:ptCount val="1"/>
                <c:pt idx="0">
                  <c:v>Count of Order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Analysis'!$A$43:$A$45</c:f>
              <c:strCache>
                <c:ptCount val="2"/>
                <c:pt idx="0">
                  <c:v>Sep</c:v>
                </c:pt>
                <c:pt idx="1">
                  <c:v>Oct</c:v>
                </c:pt>
              </c:strCache>
            </c:strRef>
          </c:cat>
          <c:val>
            <c:numRef>
              <c:f>'Pivot Analysis'!$C$43:$C$45</c:f>
              <c:numCache>
                <c:formatCode>General</c:formatCode>
                <c:ptCount val="2"/>
                <c:pt idx="0">
                  <c:v>30</c:v>
                </c:pt>
                <c:pt idx="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87-4D44-A0AF-9C051312050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38044280"/>
        <c:axId val="538045360"/>
      </c:lineChart>
      <c:catAx>
        <c:axId val="53804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045360"/>
        <c:crosses val="autoZero"/>
        <c:auto val="1"/>
        <c:lblAlgn val="ctr"/>
        <c:lblOffset val="100"/>
        <c:noMultiLvlLbl val="0"/>
      </c:catAx>
      <c:valAx>
        <c:axId val="53804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044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314325</xdr:colOff>
      <xdr:row>4</xdr:row>
      <xdr:rowOff>123825</xdr:rowOff>
    </xdr:from>
    <xdr:ext cx="63817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191E1CA-8627-BA51-F826-E432E1438D3F}"/>
            </a:ext>
          </a:extLst>
        </xdr:cNvPr>
        <xdr:cNvSpPr txBox="1"/>
      </xdr:nvSpPr>
      <xdr:spPr>
        <a:xfrm>
          <a:off x="1533525" y="885825"/>
          <a:ext cx="6381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476250</xdr:colOff>
      <xdr:row>2</xdr:row>
      <xdr:rowOff>19050</xdr:rowOff>
    </xdr:from>
    <xdr:to>
      <xdr:col>4</xdr:col>
      <xdr:colOff>180975</xdr:colOff>
      <xdr:row>6</xdr:row>
      <xdr:rowOff>9526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4DF4767-8788-35EE-8EEA-D0E1B41F8795}"/>
            </a:ext>
          </a:extLst>
        </xdr:cNvPr>
        <xdr:cNvSpPr/>
      </xdr:nvSpPr>
      <xdr:spPr>
        <a:xfrm>
          <a:off x="476250" y="400050"/>
          <a:ext cx="2143125" cy="752476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chemeClr val="tx1">
                  <a:lumMod val="65000"/>
                  <a:lumOff val="35000"/>
                </a:schemeClr>
              </a:solidFill>
            </a:rPr>
            <a:t>Total</a:t>
          </a:r>
          <a:r>
            <a:rPr lang="en-IN" sz="1000" b="1" baseline="0">
              <a:solidFill>
                <a:schemeClr val="tx1">
                  <a:lumMod val="65000"/>
                  <a:lumOff val="35000"/>
                </a:schemeClr>
              </a:solidFill>
            </a:rPr>
            <a:t> Net Sales</a:t>
          </a:r>
          <a:endParaRPr lang="en-IN" sz="1000" b="1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ctr"/>
          <a:endParaRPr lang="en-IN" sz="1000" b="1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5</xdr:col>
      <xdr:colOff>257175</xdr:colOff>
      <xdr:row>1</xdr:row>
      <xdr:rowOff>180975</xdr:rowOff>
    </xdr:from>
    <xdr:to>
      <xdr:col>8</xdr:col>
      <xdr:colOff>571500</xdr:colOff>
      <xdr:row>5</xdr:row>
      <xdr:rowOff>171451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E5B01A6-BCAF-D3FD-D80C-573EEED63115}"/>
            </a:ext>
          </a:extLst>
        </xdr:cNvPr>
        <xdr:cNvSpPr/>
      </xdr:nvSpPr>
      <xdr:spPr>
        <a:xfrm>
          <a:off x="3305175" y="371475"/>
          <a:ext cx="2143125" cy="752476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chemeClr val="tx1">
                  <a:lumMod val="65000"/>
                  <a:lumOff val="35000"/>
                </a:schemeClr>
              </a:solidFill>
            </a:rPr>
            <a:t>Total</a:t>
          </a:r>
          <a:r>
            <a:rPr lang="en-IN" sz="1000" b="1" baseline="0">
              <a:solidFill>
                <a:schemeClr val="tx1">
                  <a:lumMod val="65000"/>
                  <a:lumOff val="35000"/>
                </a:schemeClr>
              </a:solidFill>
            </a:rPr>
            <a:t> Orders</a:t>
          </a:r>
          <a:r>
            <a:rPr lang="en-IN" sz="1000" b="1">
              <a:solidFill>
                <a:schemeClr val="tx1">
                  <a:lumMod val="65000"/>
                  <a:lumOff val="35000"/>
                </a:schemeClr>
              </a:solidFill>
            </a:rPr>
            <a:t> </a:t>
          </a:r>
        </a:p>
      </xdr:txBody>
    </xdr:sp>
    <xdr:clientData/>
  </xdr:twoCellAnchor>
  <xdr:twoCellAnchor>
    <xdr:from>
      <xdr:col>10</xdr:col>
      <xdr:colOff>247650</xdr:colOff>
      <xdr:row>1</xdr:row>
      <xdr:rowOff>152400</xdr:rowOff>
    </xdr:from>
    <xdr:to>
      <xdr:col>13</xdr:col>
      <xdr:colOff>561975</xdr:colOff>
      <xdr:row>5</xdr:row>
      <xdr:rowOff>142876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8CF587F-7AC7-1E20-C104-D398FFD36BED}"/>
            </a:ext>
          </a:extLst>
        </xdr:cNvPr>
        <xdr:cNvSpPr/>
      </xdr:nvSpPr>
      <xdr:spPr>
        <a:xfrm>
          <a:off x="6343650" y="590550"/>
          <a:ext cx="2143125" cy="752476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chemeClr val="tx1">
                  <a:lumMod val="65000"/>
                  <a:lumOff val="35000"/>
                </a:schemeClr>
              </a:solidFill>
            </a:rPr>
            <a:t>Total Quantity Sold</a:t>
          </a:r>
        </a:p>
      </xdr:txBody>
    </xdr:sp>
    <xdr:clientData/>
  </xdr:twoCellAnchor>
  <xdr:twoCellAnchor>
    <xdr:from>
      <xdr:col>15</xdr:col>
      <xdr:colOff>152400</xdr:colOff>
      <xdr:row>1</xdr:row>
      <xdr:rowOff>114300</xdr:rowOff>
    </xdr:from>
    <xdr:to>
      <xdr:col>18</xdr:col>
      <xdr:colOff>466725</xdr:colOff>
      <xdr:row>5</xdr:row>
      <xdr:rowOff>104776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A560727-D3F3-14B0-51A8-B91BC22CFF10}"/>
            </a:ext>
          </a:extLst>
        </xdr:cNvPr>
        <xdr:cNvSpPr/>
      </xdr:nvSpPr>
      <xdr:spPr>
        <a:xfrm>
          <a:off x="9296400" y="552450"/>
          <a:ext cx="2143125" cy="752476"/>
        </a:xfrm>
        <a:prstGeom prst="roundRect">
          <a:avLst/>
        </a:prstGeom>
        <a:solidFill>
          <a:schemeClr val="bg1"/>
        </a:solidFill>
        <a:ln>
          <a:noFill/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chemeClr val="tx1">
                  <a:lumMod val="65000"/>
                  <a:lumOff val="35000"/>
                </a:schemeClr>
              </a:solidFill>
            </a:rPr>
            <a:t>Average Order value</a:t>
          </a:r>
        </a:p>
      </xdr:txBody>
    </xdr:sp>
    <xdr:clientData/>
  </xdr:twoCellAnchor>
  <xdr:twoCellAnchor>
    <xdr:from>
      <xdr:col>1</xdr:col>
      <xdr:colOff>190500</xdr:colOff>
      <xdr:row>3</xdr:row>
      <xdr:rowOff>123825</xdr:rowOff>
    </xdr:from>
    <xdr:to>
      <xdr:col>3</xdr:col>
      <xdr:colOff>333375</xdr:colOff>
      <xdr:row>4</xdr:row>
      <xdr:rowOff>114300</xdr:rowOff>
    </xdr:to>
    <xdr:sp macro="" textlink="MIS_Report!B7">
      <xdr:nvSpPr>
        <xdr:cNvPr id="9" name="TextBox 8">
          <a:extLst>
            <a:ext uri="{FF2B5EF4-FFF2-40B4-BE49-F238E27FC236}">
              <a16:creationId xmlns:a16="http://schemas.microsoft.com/office/drawing/2014/main" id="{D7D0CCE3-6DFA-25CD-7F05-7D6EAA068A61}"/>
            </a:ext>
          </a:extLst>
        </xdr:cNvPr>
        <xdr:cNvSpPr txBox="1"/>
      </xdr:nvSpPr>
      <xdr:spPr>
        <a:xfrm>
          <a:off x="800100" y="695325"/>
          <a:ext cx="136207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CDCCC6C-9210-40FA-BD5E-E11A71E35A2F}" type="TxLink">
            <a:rPr lang="en-US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cs typeface="Calibri"/>
            </a:rPr>
            <a:pPr algn="ctr"/>
            <a:t>₹ 38,25,232</a:t>
          </a:fld>
          <a:endParaRPr lang="en-IN" sz="18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6</xdr:col>
      <xdr:colOff>9525</xdr:colOff>
      <xdr:row>3</xdr:row>
      <xdr:rowOff>133350</xdr:rowOff>
    </xdr:from>
    <xdr:to>
      <xdr:col>8</xdr:col>
      <xdr:colOff>152400</xdr:colOff>
      <xdr:row>4</xdr:row>
      <xdr:rowOff>123825</xdr:rowOff>
    </xdr:to>
    <xdr:sp macro="" textlink="MIS_Report!B3">
      <xdr:nvSpPr>
        <xdr:cNvPr id="12" name="TextBox 11">
          <a:extLst>
            <a:ext uri="{FF2B5EF4-FFF2-40B4-BE49-F238E27FC236}">
              <a16:creationId xmlns:a16="http://schemas.microsoft.com/office/drawing/2014/main" id="{899C1221-29A4-49FF-9A54-294D82355267}"/>
            </a:ext>
          </a:extLst>
        </xdr:cNvPr>
        <xdr:cNvSpPr txBox="1"/>
      </xdr:nvSpPr>
      <xdr:spPr>
        <a:xfrm>
          <a:off x="3667125" y="952500"/>
          <a:ext cx="136207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E32034A-50E5-4491-A70C-0F54C54FD8FD}" type="TxLink">
            <a:rPr lang="en-US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cs typeface="Calibri"/>
            </a:rPr>
            <a:pPr algn="ctr"/>
            <a:t>49</a:t>
          </a:fld>
          <a:endParaRPr lang="en-US" sz="1800" b="1" i="0" u="none" strike="noStrike">
            <a:solidFill>
              <a:schemeClr val="tx2">
                <a:lumMod val="60000"/>
                <a:lumOff val="40000"/>
              </a:schemeClr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11</xdr:col>
      <xdr:colOff>38100</xdr:colOff>
      <xdr:row>3</xdr:row>
      <xdr:rowOff>104775</xdr:rowOff>
    </xdr:from>
    <xdr:to>
      <xdr:col>13</xdr:col>
      <xdr:colOff>180975</xdr:colOff>
      <xdr:row>4</xdr:row>
      <xdr:rowOff>95250</xdr:rowOff>
    </xdr:to>
    <xdr:sp macro="" textlink="MIS_Report!B4">
      <xdr:nvSpPr>
        <xdr:cNvPr id="14" name="TextBox 13">
          <a:extLst>
            <a:ext uri="{FF2B5EF4-FFF2-40B4-BE49-F238E27FC236}">
              <a16:creationId xmlns:a16="http://schemas.microsoft.com/office/drawing/2014/main" id="{4C4B4CDD-07B0-4079-AE27-1F83318A24CD}"/>
            </a:ext>
          </a:extLst>
        </xdr:cNvPr>
        <xdr:cNvSpPr txBox="1"/>
      </xdr:nvSpPr>
      <xdr:spPr>
        <a:xfrm>
          <a:off x="6743700" y="923925"/>
          <a:ext cx="136207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1F776D1C-76D1-4080-A8D0-EE788240882D}" type="TxLink">
            <a:rPr lang="en-US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cs typeface="Calibri"/>
            </a:rPr>
            <a:pPr algn="ctr"/>
            <a:t>336</a:t>
          </a:fld>
          <a:endParaRPr lang="en-IN" sz="18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15</xdr:col>
      <xdr:colOff>514350</xdr:colOff>
      <xdr:row>3</xdr:row>
      <xdr:rowOff>76200</xdr:rowOff>
    </xdr:from>
    <xdr:to>
      <xdr:col>18</xdr:col>
      <xdr:colOff>47625</xdr:colOff>
      <xdr:row>4</xdr:row>
      <xdr:rowOff>66675</xdr:rowOff>
    </xdr:to>
    <xdr:sp macro="" textlink="MIS_Report!B8">
      <xdr:nvSpPr>
        <xdr:cNvPr id="16" name="TextBox 15">
          <a:extLst>
            <a:ext uri="{FF2B5EF4-FFF2-40B4-BE49-F238E27FC236}">
              <a16:creationId xmlns:a16="http://schemas.microsoft.com/office/drawing/2014/main" id="{287E083C-20AB-441E-BDDE-86091B846BDC}"/>
            </a:ext>
          </a:extLst>
        </xdr:cNvPr>
        <xdr:cNvSpPr txBox="1"/>
      </xdr:nvSpPr>
      <xdr:spPr>
        <a:xfrm>
          <a:off x="9658350" y="895350"/>
          <a:ext cx="1362075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099BF3E-0EA2-46A6-A9A6-D0EA71FD4E0D}" type="TxLink">
            <a:rPr lang="en-US" sz="1800" b="1" i="0" u="none" strike="noStrike">
              <a:solidFill>
                <a:schemeClr val="tx2">
                  <a:lumMod val="60000"/>
                  <a:lumOff val="40000"/>
                </a:schemeClr>
              </a:solidFill>
              <a:latin typeface="Calibri"/>
              <a:cs typeface="Calibri"/>
            </a:rPr>
            <a:pPr algn="ctr"/>
            <a:t>₹ 78,066</a:t>
          </a:fld>
          <a:endParaRPr lang="en-IN" sz="1800" b="1">
            <a:solidFill>
              <a:schemeClr val="tx2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0</xdr:col>
      <xdr:colOff>504825</xdr:colOff>
      <xdr:row>7</xdr:row>
      <xdr:rowOff>40368</xdr:rowOff>
    </xdr:from>
    <xdr:to>
      <xdr:col>9</xdr:col>
      <xdr:colOff>238125</xdr:colOff>
      <xdr:row>21</xdr:row>
      <xdr:rowOff>116568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5439E51-A3EC-4DCD-A0AD-744E1E0BCD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152400</xdr:colOff>
      <xdr:row>7</xdr:row>
      <xdr:rowOff>51707</xdr:rowOff>
    </xdr:from>
    <xdr:to>
      <xdr:col>18</xdr:col>
      <xdr:colOff>495300</xdr:colOff>
      <xdr:row>21</xdr:row>
      <xdr:rowOff>127907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9239C3E-B012-4149-AF31-08FFBBE5B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504823</xdr:colOff>
      <xdr:row>23</xdr:row>
      <xdr:rowOff>9525</xdr:rowOff>
    </xdr:from>
    <xdr:to>
      <xdr:col>9</xdr:col>
      <xdr:colOff>238423</xdr:colOff>
      <xdr:row>37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64556A8-72E4-46A4-BFDA-8B0DD800D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171450</xdr:colOff>
      <xdr:row>22</xdr:row>
      <xdr:rowOff>156936</xdr:rowOff>
    </xdr:from>
    <xdr:to>
      <xdr:col>18</xdr:col>
      <xdr:colOff>514650</xdr:colOff>
      <xdr:row>37</xdr:row>
      <xdr:rowOff>40368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C3C903A-D977-490A-9A70-9D39C4EB51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533400</xdr:colOff>
      <xdr:row>38</xdr:row>
      <xdr:rowOff>95250</xdr:rowOff>
    </xdr:from>
    <xdr:to>
      <xdr:col>18</xdr:col>
      <xdr:colOff>514350</xdr:colOff>
      <xdr:row>52</xdr:row>
      <xdr:rowOff>164250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1A73B30C-D065-49E5-827D-E768356FEA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476250</xdr:colOff>
      <xdr:row>54</xdr:row>
      <xdr:rowOff>104775</xdr:rowOff>
    </xdr:from>
    <xdr:to>
      <xdr:col>18</xdr:col>
      <xdr:colOff>495300</xdr:colOff>
      <xdr:row>63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ED848CA-5BEF-05A4-FD61-F93DBEF12CC6}"/>
            </a:ext>
          </a:extLst>
        </xdr:cNvPr>
        <xdr:cNvSpPr/>
      </xdr:nvSpPr>
      <xdr:spPr>
        <a:xfrm>
          <a:off x="476250" y="10639425"/>
          <a:ext cx="10991850" cy="17240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400" b="1">
              <a:solidFill>
                <a:schemeClr val="accent1">
                  <a:lumMod val="75000"/>
                </a:schemeClr>
              </a:solidFill>
            </a:rPr>
            <a:t>Management</a:t>
          </a:r>
          <a:r>
            <a:rPr lang="en-IN" sz="1400" b="1" baseline="0">
              <a:solidFill>
                <a:schemeClr val="accent1">
                  <a:lumMod val="75000"/>
                </a:schemeClr>
              </a:solidFill>
            </a:rPr>
            <a:t> Insights</a:t>
          </a:r>
        </a:p>
        <a:p>
          <a:pPr algn="l"/>
          <a:endParaRPr lang="en-IN" sz="11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/>
          <a:r>
            <a:rPr lang="en-IN" sz="1100" b="0" baseline="0">
              <a:solidFill>
                <a:schemeClr val="tx1">
                  <a:lumMod val="65000"/>
                  <a:lumOff val="35000"/>
                </a:schemeClr>
              </a:solidFill>
            </a:rPr>
            <a:t>Top Salesperson : Kiran</a:t>
          </a:r>
        </a:p>
        <a:p>
          <a:pPr algn="l"/>
          <a:r>
            <a:rPr lang="en-IN" sz="1100" b="0" baseline="0">
              <a:solidFill>
                <a:schemeClr val="tx1">
                  <a:lumMod val="65000"/>
                  <a:lumOff val="35000"/>
                </a:schemeClr>
              </a:solidFill>
            </a:rPr>
            <a:t>Top Product : Laptop</a:t>
          </a:r>
        </a:p>
        <a:p>
          <a:pPr algn="l"/>
          <a:r>
            <a:rPr lang="en-IN" sz="1100" b="0" baseline="0">
              <a:solidFill>
                <a:schemeClr val="tx1">
                  <a:lumMod val="65000"/>
                  <a:lumOff val="35000"/>
                </a:schemeClr>
              </a:solidFill>
            </a:rPr>
            <a:t>Top Region: East</a:t>
          </a:r>
        </a:p>
        <a:p>
          <a:pPr algn="l"/>
          <a:r>
            <a:rPr lang="en-IN" sz="1100" b="0" baseline="0">
              <a:solidFill>
                <a:schemeClr val="tx1">
                  <a:lumMod val="65000"/>
                  <a:lumOff val="35000"/>
                </a:schemeClr>
              </a:solidFill>
            </a:rPr>
            <a:t>Most Common Order Status: Completed</a:t>
          </a:r>
        </a:p>
        <a:p>
          <a:pPr algn="l"/>
          <a:r>
            <a:rPr lang="en-IN" sz="1100" b="0" baseline="0">
              <a:solidFill>
                <a:schemeClr val="tx1">
                  <a:lumMod val="65000"/>
                  <a:lumOff val="35000"/>
                </a:schemeClr>
              </a:solidFill>
            </a:rPr>
            <a:t>Best Month: October</a:t>
          </a:r>
        </a:p>
        <a:p>
          <a:pPr algn="l"/>
          <a:endParaRPr lang="en-IN" sz="1100" b="1" baseline="0">
            <a:solidFill>
              <a:schemeClr val="tx1"/>
            </a:solidFill>
          </a:endParaRPr>
        </a:p>
        <a:p>
          <a:pPr algn="l"/>
          <a:r>
            <a:rPr lang="en-IN" sz="1100" b="1" baseline="0">
              <a:solidFill>
                <a:srgbClr val="0070C0"/>
              </a:solidFill>
            </a:rPr>
            <a:t>Recommendation:</a:t>
          </a:r>
          <a:r>
            <a:rPr lang="en-IN" sz="1100" b="0" baseline="0">
              <a:solidFill>
                <a:srgbClr val="0070C0"/>
              </a:solidFill>
            </a:rPr>
            <a:t> </a:t>
          </a:r>
          <a:r>
            <a:rPr lang="en-IN" sz="1100" b="0" baseline="0">
              <a:solidFill>
                <a:schemeClr val="tx1">
                  <a:lumMod val="65000"/>
                  <a:lumOff val="35000"/>
                </a:schemeClr>
              </a:solidFill>
            </a:rPr>
            <a:t>Focus on Laptop sales and the East region and identify the strategies that helped achieve strong October sales.</a:t>
          </a:r>
        </a:p>
        <a:p>
          <a:pPr algn="l"/>
          <a:r>
            <a:rPr lang="en-IN" sz="1100" b="0" baseline="0">
              <a:solidFill>
                <a:schemeClr val="tx1">
                  <a:lumMod val="65000"/>
                  <a:lumOff val="35000"/>
                </a:schemeClr>
              </a:solidFill>
            </a:rPr>
            <a:t>..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 manisha" refreshedDate="46301.553198842594" createdVersion="8" refreshedVersion="8" minRefreshableVersion="3" recordCount="49" xr:uid="{0A742220-1E39-43AE-8481-ADB45BCC9114}">
  <cacheSource type="worksheet">
    <worksheetSource name="SalesData"/>
  </cacheSource>
  <cacheFields count="16">
    <cacheField name="Order Id" numFmtId="0">
      <sharedItems count="49">
        <s v="ORD035"/>
        <s v="ORD040"/>
        <s v="ORD047"/>
        <s v="ORD016"/>
        <s v="ORD001"/>
        <s v="ORD022"/>
        <s v="ORD011"/>
        <s v="ORD036"/>
        <s v="ORD025"/>
        <s v="ORD008"/>
        <s v="ORD038"/>
        <s v="ORD028"/>
        <s v="ORD006"/>
        <s v="ORD002"/>
        <s v="ORD049"/>
        <s v="ORD019"/>
        <s v="ORD020"/>
        <s v="ORD042"/>
        <s v="ORD009"/>
        <s v="ORD032"/>
        <s v="ORD045"/>
        <s v="ORD026"/>
        <s v="ORD044"/>
        <s v="ORD013"/>
        <s v="ORD031"/>
        <s v="ORD027"/>
        <s v="ORD029"/>
        <s v="ORD041"/>
        <s v="ORD021"/>
        <s v="ORD010"/>
        <s v="ORD014"/>
        <s v="ORD004"/>
        <s v="ORD015"/>
        <s v="ORD024"/>
        <s v="ORD023"/>
        <s v="ORD034"/>
        <s v="ORD030"/>
        <s v="ORD007"/>
        <s v="ORD048"/>
        <s v="ORD018"/>
        <s v="ORD039"/>
        <s v="ORD017"/>
        <s v="ORD046"/>
        <s v="ORD012"/>
        <s v="ORD003"/>
        <s v="ORD005"/>
        <s v="ORD033"/>
        <s v="ORD037"/>
        <s v="ORD043"/>
      </sharedItems>
    </cacheField>
    <cacheField name="Order Date" numFmtId="14">
      <sharedItems containsSemiMixedTypes="0" containsNonDate="0" containsDate="1" containsString="0" minDate="2026-09-01T00:00:00" maxDate="2026-10-27T00:00:00" count="26">
        <d v="2026-10-19T00:00:00"/>
        <d v="2026-10-21T00:00:00"/>
        <d v="2026-10-25T00:00:00"/>
        <d v="2026-09-09T00:00:00"/>
        <d v="2026-09-01T00:00:00"/>
        <d v="2026-09-12T00:00:00"/>
        <d v="2026-09-06T00:00:00"/>
        <d v="2026-09-13T00:00:00"/>
        <d v="2026-09-05T00:00:00"/>
        <d v="2026-10-20T00:00:00"/>
        <d v="2026-09-15T00:00:00"/>
        <d v="2026-09-03T00:00:00"/>
        <d v="2026-10-26T00:00:00"/>
        <d v="2026-09-10T00:00:00"/>
        <d v="2026-09-11T00:00:00"/>
        <d v="2026-10-22T00:00:00"/>
        <d v="2026-10-17T00:00:00"/>
        <d v="2026-10-24T00:00:00"/>
        <d v="2026-09-14T00:00:00"/>
        <d v="2026-10-23T00:00:00"/>
        <d v="2026-09-07T00:00:00"/>
        <d v="2026-09-16T00:00:00"/>
        <d v="2026-09-08T00:00:00"/>
        <d v="2026-09-02T00:00:00"/>
        <d v="2026-10-18T00:00:00"/>
        <d v="2026-09-04T00:00:00"/>
      </sharedItems>
      <fieldGroup par="15"/>
    </cacheField>
    <cacheField name="Salesperson" numFmtId="0">
      <sharedItems count="5">
        <s v="Kiran"/>
        <s v="priya "/>
        <s v="Rahul"/>
        <s v="Amit"/>
        <s v="Sneha"/>
      </sharedItems>
    </cacheField>
    <cacheField name="Region" numFmtId="0">
      <sharedItems count="4">
        <s v="East"/>
        <s v="West"/>
        <s v="South"/>
        <s v="North"/>
      </sharedItems>
    </cacheField>
    <cacheField name="Product" numFmtId="0">
      <sharedItems count="6">
        <s v="Laptop"/>
        <s v="Headset"/>
        <s v="Monitor"/>
        <s v="Printer"/>
        <s v="keyboard"/>
        <s v="Mouse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25"/>
    </cacheField>
    <cacheField name="Unit Price" numFmtId="0">
      <sharedItems containsSemiMixedTypes="0" containsString="0" containsNumber="1" containsInteger="1" minValue="1200" maxValue="55000"/>
    </cacheField>
    <cacheField name="Discount" numFmtId="0">
      <sharedItems containsSemiMixedTypes="0" containsString="0" containsNumber="1" containsInteger="1" minValue="0" maxValue="8"/>
    </cacheField>
    <cacheField name="Discount %2" numFmtId="9">
      <sharedItems containsSemiMixedTypes="0" containsString="0" containsNumber="1" minValue="0" maxValue="0.08"/>
    </cacheField>
    <cacheField name="Payment Mode" numFmtId="0">
      <sharedItems/>
    </cacheField>
    <cacheField name="Order Status" numFmtId="0">
      <sharedItems count="3">
        <s v="Completed"/>
        <s v="Pending"/>
        <s v="Cancelled"/>
      </sharedItems>
    </cacheField>
    <cacheField name="Sales  Amount" numFmtId="164">
      <sharedItems containsSemiMixedTypes="0" containsString="0" containsNumber="1" containsInteger="1" minValue="4800" maxValue="825000"/>
    </cacheField>
    <cacheField name="Discount Amount" numFmtId="164">
      <sharedItems containsString="0" containsBlank="1" containsNumber="1" minValue="0" maxValue="26400"/>
    </cacheField>
    <cacheField name="Net Sales" numFmtId="164">
      <sharedItems containsSemiMixedTypes="0" containsString="0" containsNumber="1" containsInteger="1" minValue="4560" maxValue="808500"/>
    </cacheField>
    <cacheField name="Months (Order Date)" numFmtId="0" databaseField="0">
      <fieldGroup base="1">
        <rangePr groupBy="months" startDate="2026-09-01T00:00:00" endDate="2026-10-27T00:00:00"/>
        <groupItems count="14">
          <s v="&lt;01-09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7-10-2026"/>
        </groupItems>
      </fieldGroup>
    </cacheField>
  </cacheFields>
  <extLst>
    <ext xmlns:x14="http://schemas.microsoft.com/office/spreadsheetml/2009/9/main" uri="{725AE2AE-9491-48be-B2B4-4EB974FC3084}">
      <x14:pivotCacheDefinition pivotCacheId="1902636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  <x v="0"/>
    <x v="0"/>
    <s v="Accessories"/>
    <n v="15"/>
    <n v="55000"/>
    <n v="2"/>
    <n v="0.02"/>
    <s v="Cash"/>
    <x v="0"/>
    <n v="825000"/>
    <n v="16500"/>
    <n v="808500"/>
  </r>
  <r>
    <x v="1"/>
    <x v="1"/>
    <x v="0"/>
    <x v="1"/>
    <x v="0"/>
    <s v="Electronics"/>
    <n v="12"/>
    <n v="55000"/>
    <n v="4"/>
    <n v="0.04"/>
    <s v="Cash"/>
    <x v="0"/>
    <n v="660000"/>
    <n v="26400"/>
    <n v="633600"/>
  </r>
  <r>
    <x v="2"/>
    <x v="2"/>
    <x v="1"/>
    <x v="0"/>
    <x v="0"/>
    <s v="Accessories"/>
    <n v="11"/>
    <n v="55000"/>
    <n v="4"/>
    <n v="0.04"/>
    <s v="UPI"/>
    <x v="1"/>
    <n v="605000"/>
    <n v="24200"/>
    <n v="580800"/>
  </r>
  <r>
    <x v="3"/>
    <x v="3"/>
    <x v="2"/>
    <x v="1"/>
    <x v="0"/>
    <s v="Electronics"/>
    <n v="3"/>
    <n v="55000"/>
    <n v="8"/>
    <n v="0.08"/>
    <s v="Credit Card"/>
    <x v="0"/>
    <n v="165000"/>
    <n v="13200"/>
    <n v="151800"/>
  </r>
  <r>
    <x v="4"/>
    <x v="4"/>
    <x v="2"/>
    <x v="2"/>
    <x v="0"/>
    <s v="Electronics"/>
    <n v="2"/>
    <n v="55000"/>
    <n v="5"/>
    <n v="0.05"/>
    <s v="UPI"/>
    <x v="0"/>
    <n v="110000"/>
    <n v="5500"/>
    <n v="104500"/>
  </r>
  <r>
    <x v="5"/>
    <x v="5"/>
    <x v="1"/>
    <x v="3"/>
    <x v="0"/>
    <s v="Accessories"/>
    <n v="2"/>
    <n v="55000"/>
    <n v="5"/>
    <n v="0.05"/>
    <s v="Bank Transfer"/>
    <x v="0"/>
    <n v="110000"/>
    <n v="5500"/>
    <n v="104500"/>
  </r>
  <r>
    <x v="6"/>
    <x v="6"/>
    <x v="2"/>
    <x v="0"/>
    <x v="0"/>
    <s v="Electronics"/>
    <n v="2"/>
    <n v="55000"/>
    <n v="6"/>
    <n v="0.06"/>
    <s v="Credit Card"/>
    <x v="2"/>
    <n v="110000"/>
    <n v="6600"/>
    <n v="103400"/>
  </r>
  <r>
    <x v="7"/>
    <x v="0"/>
    <x v="2"/>
    <x v="1"/>
    <x v="1"/>
    <s v="Accessories"/>
    <n v="25"/>
    <n v="3500"/>
    <n v="0"/>
    <n v="0"/>
    <s v="UPI"/>
    <x v="1"/>
    <n v="87500"/>
    <n v="0"/>
    <n v="87500"/>
  </r>
  <r>
    <x v="8"/>
    <x v="7"/>
    <x v="0"/>
    <x v="2"/>
    <x v="2"/>
    <s v="Accessories"/>
    <n v="4"/>
    <n v="18000"/>
    <n v="6"/>
    <n v="0.06"/>
    <s v="UPI"/>
    <x v="2"/>
    <n v="72000"/>
    <n v="4320"/>
    <n v="67680"/>
  </r>
  <r>
    <x v="9"/>
    <x v="8"/>
    <x v="3"/>
    <x v="1"/>
    <x v="2"/>
    <s v="Electronics"/>
    <n v="4"/>
    <n v="18000"/>
    <n v="7"/>
    <n v="7.0000000000000007E-2"/>
    <s v="Credit Card"/>
    <x v="0"/>
    <n v="72000"/>
    <n v="5040.0000000000009"/>
    <n v="66960"/>
  </r>
  <r>
    <x v="10"/>
    <x v="9"/>
    <x v="3"/>
    <x v="3"/>
    <x v="3"/>
    <s v="Office Equipment"/>
    <n v="5"/>
    <n v="12500"/>
    <n v="6"/>
    <n v="0.06"/>
    <s v="Bank Transfer"/>
    <x v="0"/>
    <n v="62500"/>
    <m/>
    <n v="62500"/>
  </r>
  <r>
    <x v="11"/>
    <x v="10"/>
    <x v="3"/>
    <x v="1"/>
    <x v="0"/>
    <s v="Accessories"/>
    <n v="1"/>
    <n v="55000"/>
    <n v="3"/>
    <n v="0.03"/>
    <s v="Credit Card"/>
    <x v="1"/>
    <n v="55000"/>
    <n v="1650"/>
    <n v="53350"/>
  </r>
  <r>
    <x v="12"/>
    <x v="11"/>
    <x v="2"/>
    <x v="3"/>
    <x v="0"/>
    <s v="Electronics"/>
    <n v="1"/>
    <n v="55000"/>
    <n v="4"/>
    <n v="0.04"/>
    <s v="Bank Transfer"/>
    <x v="0"/>
    <n v="55000"/>
    <n v="2200"/>
    <n v="52800"/>
  </r>
  <r>
    <x v="13"/>
    <x v="4"/>
    <x v="1"/>
    <x v="3"/>
    <x v="2"/>
    <s v="Electronics"/>
    <n v="3"/>
    <n v="18000"/>
    <n v="3"/>
    <n v="0.03"/>
    <s v="Credit Card"/>
    <x v="0"/>
    <n v="54000"/>
    <n v="1620"/>
    <n v="52380"/>
  </r>
  <r>
    <x v="14"/>
    <x v="12"/>
    <x v="4"/>
    <x v="2"/>
    <x v="2"/>
    <s v="Electronics"/>
    <n v="3"/>
    <n v="18000"/>
    <n v="4"/>
    <n v="0.04"/>
    <s v="UPI"/>
    <x v="0"/>
    <n v="54000"/>
    <n v="2160"/>
    <n v="51840"/>
  </r>
  <r>
    <x v="15"/>
    <x v="13"/>
    <x v="4"/>
    <x v="0"/>
    <x v="2"/>
    <s v="Electronics"/>
    <n v="3"/>
    <n v="18000"/>
    <n v="5"/>
    <n v="0.05"/>
    <s v="UPI"/>
    <x v="0"/>
    <n v="54000"/>
    <n v="2700"/>
    <n v="51300"/>
  </r>
  <r>
    <x v="16"/>
    <x v="14"/>
    <x v="0"/>
    <x v="1"/>
    <x v="3"/>
    <s v="Office Equipment"/>
    <n v="4"/>
    <n v="12500"/>
    <n v="6"/>
    <n v="0.06"/>
    <s v="Debit Card"/>
    <x v="1"/>
    <n v="50000"/>
    <n v="3000"/>
    <n v="47000"/>
  </r>
  <r>
    <x v="17"/>
    <x v="15"/>
    <x v="1"/>
    <x v="3"/>
    <x v="4"/>
    <s v="Accessories"/>
    <n v="20"/>
    <n v="2500"/>
    <n v="8"/>
    <n v="0.08"/>
    <s v="Debit Card"/>
    <x v="2"/>
    <n v="50000"/>
    <n v="4000"/>
    <n v="46000"/>
  </r>
  <r>
    <x v="18"/>
    <x v="8"/>
    <x v="4"/>
    <x v="2"/>
    <x v="3"/>
    <s v="Office Equipment"/>
    <n v="3"/>
    <n v="12500"/>
    <n v="3"/>
    <n v="0.03"/>
    <s v="UPI"/>
    <x v="0"/>
    <n v="37500"/>
    <n v="1125"/>
    <n v="36375"/>
  </r>
  <r>
    <x v="19"/>
    <x v="16"/>
    <x v="1"/>
    <x v="1"/>
    <x v="3"/>
    <s v="Electronics"/>
    <n v="3"/>
    <n v="12500"/>
    <n v="3"/>
    <n v="0.03"/>
    <s v="Bank Transfer"/>
    <x v="0"/>
    <n v="37500"/>
    <n v="1125"/>
    <n v="36375"/>
  </r>
  <r>
    <x v="20"/>
    <x v="17"/>
    <x v="0"/>
    <x v="2"/>
    <x v="3"/>
    <s v="Electronics"/>
    <n v="3"/>
    <n v="12500"/>
    <n v="3"/>
    <n v="0.03"/>
    <s v="Bank Transfer"/>
    <x v="0"/>
    <n v="37500"/>
    <n v="1125"/>
    <n v="36375"/>
  </r>
  <r>
    <x v="21"/>
    <x v="18"/>
    <x v="2"/>
    <x v="3"/>
    <x v="3"/>
    <s v="Electronics"/>
    <n v="3"/>
    <n v="12500"/>
    <n v="4"/>
    <n v="0.04"/>
    <s v="Debit Card"/>
    <x v="0"/>
    <n v="37500"/>
    <n v="1500"/>
    <n v="36000"/>
  </r>
  <r>
    <x v="22"/>
    <x v="19"/>
    <x v="4"/>
    <x v="1"/>
    <x v="2"/>
    <s v="Electronics"/>
    <n v="2"/>
    <n v="18000"/>
    <n v="2"/>
    <n v="0.02"/>
    <s v="UPI"/>
    <x v="0"/>
    <n v="36000"/>
    <n v="720"/>
    <n v="35280"/>
  </r>
  <r>
    <x v="23"/>
    <x v="20"/>
    <x v="3"/>
    <x v="2"/>
    <x v="2"/>
    <s v="Electronics"/>
    <n v="2"/>
    <n v="18000"/>
    <n v="4"/>
    <n v="0.04"/>
    <s v="Debit Card"/>
    <x v="0"/>
    <n v="36000"/>
    <n v="1440"/>
    <n v="34560"/>
  </r>
  <r>
    <x v="24"/>
    <x v="16"/>
    <x v="2"/>
    <x v="0"/>
    <x v="2"/>
    <s v="Accessories"/>
    <n v="2"/>
    <n v="18000"/>
    <n v="5"/>
    <n v="0.05"/>
    <s v="Credit Card"/>
    <x v="0"/>
    <n v="36000"/>
    <n v="1800"/>
    <n v="34200"/>
  </r>
  <r>
    <x v="25"/>
    <x v="18"/>
    <x v="1"/>
    <x v="0"/>
    <x v="1"/>
    <s v="Office Equipment"/>
    <n v="10"/>
    <n v="3500"/>
    <n v="5"/>
    <n v="0.05"/>
    <s v="UPI"/>
    <x v="0"/>
    <n v="35000"/>
    <n v="1750"/>
    <n v="33250"/>
  </r>
  <r>
    <x v="26"/>
    <x v="21"/>
    <x v="4"/>
    <x v="2"/>
    <x v="4"/>
    <s v="Electronics"/>
    <n v="12"/>
    <n v="2500"/>
    <n v="2"/>
    <n v="0.02"/>
    <s v="Cash"/>
    <x v="0"/>
    <n v="30000"/>
    <n v="600"/>
    <n v="29400"/>
  </r>
  <r>
    <x v="27"/>
    <x v="15"/>
    <x v="2"/>
    <x v="2"/>
    <x v="1"/>
    <s v="Accessories"/>
    <n v="8"/>
    <n v="3500"/>
    <n v="3"/>
    <n v="0.03"/>
    <s v="UPI"/>
    <x v="2"/>
    <n v="28000"/>
    <n v="840"/>
    <n v="27160"/>
  </r>
  <r>
    <x v="28"/>
    <x v="14"/>
    <x v="2"/>
    <x v="2"/>
    <x v="1"/>
    <s v="Accessories"/>
    <n v="8"/>
    <n v="3500"/>
    <n v="4"/>
    <n v="0.04"/>
    <s v="UPI"/>
    <x v="0"/>
    <n v="28000"/>
    <n v="1120"/>
    <n v="26880"/>
  </r>
  <r>
    <x v="29"/>
    <x v="6"/>
    <x v="0"/>
    <x v="3"/>
    <x v="4"/>
    <s v="Accessories"/>
    <n v="10"/>
    <n v="2500"/>
    <n v="2"/>
    <n v="0.02"/>
    <s v="Cash"/>
    <x v="0"/>
    <n v="25000"/>
    <n v="500"/>
    <n v="24500"/>
  </r>
  <r>
    <x v="30"/>
    <x v="22"/>
    <x v="4"/>
    <x v="3"/>
    <x v="1"/>
    <s v="Accessories"/>
    <n v="7"/>
    <n v="3500"/>
    <n v="3"/>
    <n v="0.03"/>
    <s v="Cash"/>
    <x v="1"/>
    <n v="24500"/>
    <n v="735"/>
    <n v="23765"/>
  </r>
  <r>
    <x v="31"/>
    <x v="23"/>
    <x v="4"/>
    <x v="1"/>
    <x v="3"/>
    <s v="Office Equipment"/>
    <n v="2"/>
    <n v="12500"/>
    <n v="5"/>
    <n v="0.05"/>
    <s v="Debit Card"/>
    <x v="1"/>
    <n v="25000"/>
    <n v="1250"/>
    <n v="23750"/>
  </r>
  <r>
    <x v="32"/>
    <x v="22"/>
    <x v="0"/>
    <x v="0"/>
    <x v="3"/>
    <s v="Office Equipment"/>
    <n v="2"/>
    <n v="12500"/>
    <n v="5"/>
    <n v="0.05"/>
    <s v="Bank Transfer"/>
    <x v="0"/>
    <n v="25000"/>
    <n v="1250"/>
    <n v="23750"/>
  </r>
  <r>
    <x v="33"/>
    <x v="7"/>
    <x v="4"/>
    <x v="1"/>
    <x v="5"/>
    <s v="Office Equipment"/>
    <n v="20"/>
    <n v="1200"/>
    <n v="5"/>
    <n v="0.05"/>
    <s v="Cash"/>
    <x v="0"/>
    <n v="24000"/>
    <n v="1200"/>
    <n v="22800"/>
  </r>
  <r>
    <x v="34"/>
    <x v="5"/>
    <x v="3"/>
    <x v="0"/>
    <x v="4"/>
    <s v="Electronics"/>
    <n v="9"/>
    <n v="2500"/>
    <n v="3"/>
    <n v="0.03"/>
    <s v="Credit Card"/>
    <x v="0"/>
    <n v="22500"/>
    <n v="675"/>
    <n v="21825"/>
  </r>
  <r>
    <x v="35"/>
    <x v="24"/>
    <x v="4"/>
    <x v="3"/>
    <x v="4"/>
    <s v="Electronics"/>
    <n v="9"/>
    <n v="2500"/>
    <n v="5"/>
    <n v="0.05"/>
    <s v="Debit Card"/>
    <x v="0"/>
    <n v="22500"/>
    <n v="1125"/>
    <n v="21375"/>
  </r>
  <r>
    <x v="36"/>
    <x v="21"/>
    <x v="0"/>
    <x v="3"/>
    <x v="5"/>
    <s v="Accessories"/>
    <n v="18"/>
    <n v="1200"/>
    <n v="4"/>
    <n v="0.04"/>
    <s v="UPI"/>
    <x v="0"/>
    <n v="21600"/>
    <n v="864"/>
    <n v="20736"/>
  </r>
  <r>
    <x v="37"/>
    <x v="25"/>
    <x v="1"/>
    <x v="0"/>
    <x v="1"/>
    <s v="Accessories"/>
    <n v="6"/>
    <n v="3500"/>
    <n v="5"/>
    <n v="0.05"/>
    <s v="UPI"/>
    <x v="2"/>
    <n v="21000"/>
    <n v="1050"/>
    <n v="19950"/>
  </r>
  <r>
    <x v="38"/>
    <x v="2"/>
    <x v="3"/>
    <x v="1"/>
    <x v="5"/>
    <s v="Accessories"/>
    <n v="16"/>
    <n v="1200"/>
    <n v="2"/>
    <n v="0.02"/>
    <s v="Credit Card"/>
    <x v="0"/>
    <n v="19200"/>
    <n v="384"/>
    <n v="18816"/>
  </r>
  <r>
    <x v="39"/>
    <x v="13"/>
    <x v="3"/>
    <x v="3"/>
    <x v="5"/>
    <s v="Accessories"/>
    <n v="15"/>
    <n v="1200"/>
    <n v="0"/>
    <n v="0"/>
    <s v="Cash"/>
    <x v="0"/>
    <n v="18000"/>
    <n v="0"/>
    <n v="18000"/>
  </r>
  <r>
    <x v="40"/>
    <x v="1"/>
    <x v="4"/>
    <x v="0"/>
    <x v="2"/>
    <s v="Electronics"/>
    <n v="1"/>
    <n v="18000"/>
    <n v="5"/>
    <n v="0.05"/>
    <s v="UPI"/>
    <x v="0"/>
    <n v="18000"/>
    <n v="900"/>
    <n v="17100"/>
  </r>
  <r>
    <x v="41"/>
    <x v="3"/>
    <x v="1"/>
    <x v="2"/>
    <x v="4"/>
    <s v="Accessories"/>
    <n v="6"/>
    <n v="2500"/>
    <n v="2"/>
    <n v="0.02"/>
    <s v="UPI"/>
    <x v="2"/>
    <n v="15000"/>
    <n v="300"/>
    <n v="14700"/>
  </r>
  <r>
    <x v="42"/>
    <x v="17"/>
    <x v="2"/>
    <x v="3"/>
    <x v="4"/>
    <s v="Accessories"/>
    <n v="6"/>
    <n v="2500"/>
    <n v="5"/>
    <n v="0.05"/>
    <s v="Cash"/>
    <x v="2"/>
    <n v="15000"/>
    <n v="750"/>
    <n v="14250"/>
  </r>
  <r>
    <x v="43"/>
    <x v="20"/>
    <x v="1"/>
    <x v="1"/>
    <x v="5"/>
    <s v="Accessories"/>
    <n v="12"/>
    <n v="1200"/>
    <n v="5"/>
    <n v="0.05"/>
    <s v="UPI"/>
    <x v="0"/>
    <n v="14400"/>
    <n v="720"/>
    <n v="13680"/>
  </r>
  <r>
    <x v="44"/>
    <x v="23"/>
    <x v="3"/>
    <x v="0"/>
    <x v="4"/>
    <s v="Accessories"/>
    <n v="5"/>
    <n v="2500"/>
    <n v="2"/>
    <n v="0.02"/>
    <s v="UPI"/>
    <x v="0"/>
    <n v="12500"/>
    <n v="250"/>
    <n v="12250"/>
  </r>
  <r>
    <x v="45"/>
    <x v="11"/>
    <x v="0"/>
    <x v="2"/>
    <x v="5"/>
    <s v="Accessories"/>
    <n v="8"/>
    <n v="1200"/>
    <n v="0"/>
    <n v="0"/>
    <s v="Cash"/>
    <x v="0"/>
    <n v="9600"/>
    <n v="0"/>
    <n v="9600"/>
  </r>
  <r>
    <x v="46"/>
    <x v="24"/>
    <x v="3"/>
    <x v="2"/>
    <x v="1"/>
    <s v="Office Equipment"/>
    <n v="2"/>
    <n v="3500"/>
    <n v="7"/>
    <n v="7.0000000000000007E-2"/>
    <s v="UPI"/>
    <x v="2"/>
    <n v="7000"/>
    <n v="490.00000000000006"/>
    <n v="6510"/>
  </r>
  <r>
    <x v="47"/>
    <x v="9"/>
    <x v="1"/>
    <x v="2"/>
    <x v="4"/>
    <s v="Accessories"/>
    <n v="2"/>
    <n v="2500"/>
    <n v="4"/>
    <n v="0.04"/>
    <s v="Credit Card"/>
    <x v="0"/>
    <n v="5000"/>
    <n v="200"/>
    <n v="4800"/>
  </r>
  <r>
    <x v="48"/>
    <x v="19"/>
    <x v="3"/>
    <x v="0"/>
    <x v="5"/>
    <s v="Office Equipment"/>
    <n v="4"/>
    <n v="1200"/>
    <n v="5"/>
    <n v="0.05"/>
    <s v="Credit Card"/>
    <x v="1"/>
    <n v="4800"/>
    <n v="240"/>
    <n v="45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AD02B-F3AD-492A-9086-DFB5556E00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Region">
  <location ref="A25:D30" firstHeaderRow="0" firstDataRow="1" firstDataCol="1"/>
  <pivotFields count="16">
    <pivotField dataField="1" showAll="0"/>
    <pivotField numFmtId="14" showAll="0">
      <items count="27">
        <item x="4"/>
        <item x="23"/>
        <item x="11"/>
        <item x="25"/>
        <item x="8"/>
        <item x="6"/>
        <item x="20"/>
        <item x="22"/>
        <item x="3"/>
        <item x="13"/>
        <item x="14"/>
        <item x="5"/>
        <item x="7"/>
        <item x="18"/>
        <item x="10"/>
        <item x="21"/>
        <item x="16"/>
        <item x="24"/>
        <item x="0"/>
        <item x="9"/>
        <item x="1"/>
        <item x="15"/>
        <item x="19"/>
        <item x="17"/>
        <item x="2"/>
        <item x="12"/>
        <item t="default"/>
      </items>
    </pivotField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numFmtId="9" showAll="0"/>
    <pivotField showAll="0"/>
    <pivotField showAll="0"/>
    <pivotField numFmtId="164"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5">
    <i>
      <x v="2"/>
    </i>
    <i>
      <x v="3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Sales" fld="14" baseField="0" baseItem="0" numFmtId="164"/>
    <dataField name="Sum of Quantity" fld="6" baseField="0" baseItem="0"/>
    <dataField name="Count of Order 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560EA-73D6-48D7-9585-1F1637A13BC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">
  <location ref="A14:D21" firstHeaderRow="0" firstDataRow="1" firstDataCol="1"/>
  <pivotFields count="16">
    <pivotField dataField="1" showAll="0"/>
    <pivotField numFmtId="14" showAll="0">
      <items count="27">
        <item x="4"/>
        <item x="23"/>
        <item x="11"/>
        <item x="25"/>
        <item x="8"/>
        <item x="6"/>
        <item x="20"/>
        <item x="22"/>
        <item x="3"/>
        <item x="13"/>
        <item x="14"/>
        <item x="5"/>
        <item x="7"/>
        <item x="18"/>
        <item x="10"/>
        <item x="21"/>
        <item x="16"/>
        <item x="24"/>
        <item x="0"/>
        <item x="9"/>
        <item x="1"/>
        <item x="15"/>
        <item x="19"/>
        <item x="17"/>
        <item x="2"/>
        <item x="12"/>
        <item t="default"/>
      </items>
    </pivotField>
    <pivotField showAll="0"/>
    <pivotField showAll="0"/>
    <pivotField axis="axisRow" showAll="0" sortType="descending">
      <items count="7">
        <item x="0"/>
        <item x="2"/>
        <item x="4"/>
        <item x="5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numFmtId="9" showAll="0"/>
    <pivotField showAll="0"/>
    <pivotField showAll="0"/>
    <pivotField numFmtId="164"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7">
    <i>
      <x/>
    </i>
    <i>
      <x v="1"/>
    </i>
    <i>
      <x v="4"/>
    </i>
    <i>
      <x v="5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Sales" fld="14" baseField="0" baseItem="0" numFmtId="164"/>
    <dataField name="Sum of Quantity" fld="6" baseField="0" baseItem="0"/>
    <dataField name="Count of Order 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96370-EF2F-4B6A-898A-B30296DC57B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alesperson">
  <location ref="A3:D9" firstHeaderRow="0" firstDataRow="1" firstDataCol="1"/>
  <pivotFields count="16">
    <pivotField dataField="1" showAll="0"/>
    <pivotField numFmtId="14" showAll="0">
      <items count="27">
        <item x="4"/>
        <item x="23"/>
        <item x="11"/>
        <item x="25"/>
        <item x="8"/>
        <item x="6"/>
        <item x="20"/>
        <item x="22"/>
        <item x="3"/>
        <item x="13"/>
        <item x="14"/>
        <item x="5"/>
        <item x="7"/>
        <item x="18"/>
        <item x="10"/>
        <item x="21"/>
        <item x="16"/>
        <item x="24"/>
        <item x="0"/>
        <item x="9"/>
        <item x="1"/>
        <item x="15"/>
        <item x="19"/>
        <item x="17"/>
        <item x="2"/>
        <item x="12"/>
        <item t="default"/>
      </items>
    </pivotField>
    <pivotField axis="axisRow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numFmtId="9" showAll="0"/>
    <pivotField showAll="0"/>
    <pivotField showAll="0"/>
    <pivotField numFmtId="164"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2"/>
    </i>
    <i>
      <x v="3"/>
    </i>
    <i>
      <x/>
    </i>
    <i>
      <x v="4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Sales" fld="14" baseField="0" baseItem="0" numFmtId="164"/>
    <dataField name="Sum of Quantity" fld="6" baseField="0" baseItem="0"/>
    <dataField name="Count of Order Id" fld="0" subtotal="count" baseField="0" baseItem="0"/>
  </dataFields>
  <chartFormats count="1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1B2ED-9D2B-4E26-B664-1DE6059A777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A42:C45" firstHeaderRow="0" firstDataRow="1" firstDataCol="1"/>
  <pivotFields count="16">
    <pivotField dataField="1" showAll="0">
      <items count="50">
        <item x="4"/>
        <item x="13"/>
        <item x="44"/>
        <item x="31"/>
        <item x="45"/>
        <item x="12"/>
        <item x="37"/>
        <item x="9"/>
        <item x="18"/>
        <item x="29"/>
        <item x="6"/>
        <item x="43"/>
        <item x="23"/>
        <item x="30"/>
        <item x="32"/>
        <item x="3"/>
        <item x="41"/>
        <item x="39"/>
        <item x="15"/>
        <item x="16"/>
        <item x="28"/>
        <item x="5"/>
        <item x="34"/>
        <item x="33"/>
        <item x="8"/>
        <item x="21"/>
        <item x="25"/>
        <item x="11"/>
        <item x="26"/>
        <item x="36"/>
        <item x="24"/>
        <item x="19"/>
        <item x="46"/>
        <item x="35"/>
        <item x="0"/>
        <item x="7"/>
        <item x="47"/>
        <item x="10"/>
        <item x="40"/>
        <item x="1"/>
        <item x="27"/>
        <item x="17"/>
        <item x="48"/>
        <item x="22"/>
        <item x="20"/>
        <item x="42"/>
        <item x="2"/>
        <item x="38"/>
        <item x="14"/>
        <item t="default"/>
      </items>
    </pivotField>
    <pivotField numFmtId="14" showAll="0">
      <items count="27">
        <item x="4"/>
        <item x="23"/>
        <item x="11"/>
        <item x="25"/>
        <item x="8"/>
        <item x="6"/>
        <item x="20"/>
        <item x="22"/>
        <item x="3"/>
        <item x="13"/>
        <item x="14"/>
        <item x="5"/>
        <item x="7"/>
        <item x="18"/>
        <item x="10"/>
        <item x="21"/>
        <item x="16"/>
        <item x="24"/>
        <item x="0"/>
        <item x="9"/>
        <item x="1"/>
        <item x="15"/>
        <item x="19"/>
        <item x="17"/>
        <item x="2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numFmtId="164" showAll="0"/>
    <pivotField showAll="0"/>
    <pivotField dataField="1" numFmtId="164" showAll="0"/>
    <pivotField axis="axisRow" showAll="0" sortType="ascending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</pivotFields>
  <rowFields count="1">
    <field x="15"/>
  </rowFields>
  <rowItems count="3"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 Sales" fld="14" baseField="0" baseItem="0" numFmtId="164"/>
    <dataField name="Count of Order Id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09BF57-AF5A-490F-8FC9-7B2825F45B49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Order Status">
  <location ref="A34:B38" firstHeaderRow="1" firstDataRow="1" firstDataCol="1"/>
  <pivotFields count="16">
    <pivotField dataField="1" showAll="0"/>
    <pivotField numFmtId="14" showAll="0">
      <items count="27">
        <item x="4"/>
        <item x="23"/>
        <item x="11"/>
        <item x="25"/>
        <item x="8"/>
        <item x="6"/>
        <item x="20"/>
        <item x="22"/>
        <item x="3"/>
        <item x="13"/>
        <item x="14"/>
        <item x="5"/>
        <item x="7"/>
        <item x="18"/>
        <item x="10"/>
        <item x="21"/>
        <item x="16"/>
        <item x="24"/>
        <item x="0"/>
        <item x="9"/>
        <item x="1"/>
        <item x="15"/>
        <item x="19"/>
        <item x="17"/>
        <item x="2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Row" showAll="0" sortType="descending">
      <items count="4"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515331-1226-448B-A9D1-31F3DD5CF868}" name="SalesData" displayName="SalesData" ref="A1:O50" totalsRowShown="0">
  <tableColumns count="15">
    <tableColumn id="1" xr3:uid="{A16B87C0-2CDD-4FDF-AEAF-ED74696473A9}" name="Order Id"/>
    <tableColumn id="2" xr3:uid="{F6BBB2B9-F562-4B28-8F0C-54078860D533}" name="Order Date" dataDxfId="6"/>
    <tableColumn id="3" xr3:uid="{163EC793-C927-4605-8404-8D3D9CFEA9DD}" name="Salesperson"/>
    <tableColumn id="4" xr3:uid="{CBB1EBB0-A736-48C7-AE59-1CC9FDDCD676}" name="Region"/>
    <tableColumn id="5" xr3:uid="{93324545-653A-4A69-89F4-2926CB4AF4C8}" name="Product"/>
    <tableColumn id="6" xr3:uid="{79B8BD3C-7CEB-43F6-811C-3FBA65C219A7}" name="Category"/>
    <tableColumn id="7" xr3:uid="{AAEAFC9D-5A27-418D-9DC2-7349B6C84A53}" name="Quantity"/>
    <tableColumn id="8" xr3:uid="{FF1CA8E5-D952-49D6-B752-A40DCEA67010}" name="Unit Price"/>
    <tableColumn id="9" xr3:uid="{5C3FD6CF-F910-461C-9849-97127326454B}" name="Discount"/>
    <tableColumn id="12" xr3:uid="{7D42B7DA-7E66-4042-A3C7-96E0FA188B17}" name="Discount %2" dataCellStyle="Percent">
      <calculatedColumnFormula>I2/100</calculatedColumnFormula>
    </tableColumn>
    <tableColumn id="10" xr3:uid="{A070D7CD-0DF5-4373-BCDC-9E1A88D4CDBD}" name="Payment Mode"/>
    <tableColumn id="11" xr3:uid="{0C07D0A7-050D-4FD7-A8EE-668D35DDDBBE}" name="Order Status"/>
    <tableColumn id="13" xr3:uid="{6861888C-DA15-41DA-B6A8-49F7F6B60EAA}" name="Sales  Amount" dataDxfId="5">
      <calculatedColumnFormula>SalesData[[#This Row],[Quantity]]*SalesData[[#This Row],[Unit Price]]</calculatedColumnFormula>
    </tableColumn>
    <tableColumn id="14" xr3:uid="{8B65FC75-CB2A-4C10-A60B-A281C900BBDE}" name="Discount Amount" dataDxfId="4">
      <calculatedColumnFormula>SalesData[[#This Row],[Sales  Amount]]*SalesData[[#This Row],[Discount %2]]</calculatedColumnFormula>
    </tableColumn>
    <tableColumn id="15" xr3:uid="{96FB0AF7-275E-44AB-8F8A-01462B59A4C1}" name="Net Sales" dataDxfId="3">
      <calculatedColumnFormula>SalesData[[#This Row],[Sales  Amount]]-SalesData[[#This Row],[Discount Amount]]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2D59-9F01-469E-A546-FA7ACB5C3E61}">
  <dimension ref="A1:D45"/>
  <sheetViews>
    <sheetView zoomScale="148" zoomScaleNormal="148" workbookViewId="0">
      <selection activeCell="A32" sqref="A32:B32"/>
    </sheetView>
  </sheetViews>
  <sheetFormatPr defaultRowHeight="15" x14ac:dyDescent="0.25"/>
  <cols>
    <col min="1" max="1" width="13.140625" bestFit="1" customWidth="1"/>
    <col min="2" max="2" width="16" bestFit="1" customWidth="1"/>
    <col min="3" max="3" width="15.42578125" bestFit="1" customWidth="1"/>
    <col min="4" max="4" width="16.42578125" bestFit="1" customWidth="1"/>
    <col min="5" max="5" width="8.140625" bestFit="1" customWidth="1"/>
    <col min="6" max="6" width="7.85546875" bestFit="1" customWidth="1"/>
    <col min="7" max="11" width="8.140625" bestFit="1" customWidth="1"/>
    <col min="12" max="12" width="9.7109375" bestFit="1" customWidth="1"/>
    <col min="13" max="16" width="8.140625" bestFit="1" customWidth="1"/>
    <col min="17" max="17" width="9.7109375" bestFit="1" customWidth="1"/>
    <col min="18" max="22" width="8.140625" bestFit="1" customWidth="1"/>
    <col min="23" max="23" width="9.7109375" bestFit="1" customWidth="1"/>
    <col min="24" max="33" width="8.140625" bestFit="1" customWidth="1"/>
    <col min="34" max="34" width="7.85546875" bestFit="1" customWidth="1"/>
    <col min="35" max="35" width="8.140625" bestFit="1" customWidth="1"/>
    <col min="36" max="36" width="9.7109375" bestFit="1" customWidth="1"/>
    <col min="37" max="37" width="8.140625" bestFit="1" customWidth="1"/>
    <col min="38" max="38" width="7.85546875" bestFit="1" customWidth="1"/>
    <col min="39" max="40" width="8.140625" bestFit="1" customWidth="1"/>
    <col min="41" max="41" width="9.7109375" bestFit="1" customWidth="1"/>
    <col min="42" max="43" width="8.140625" bestFit="1" customWidth="1"/>
    <col min="44" max="44" width="7.85546875" bestFit="1" customWidth="1"/>
    <col min="45" max="47" width="8.140625" bestFit="1" customWidth="1"/>
    <col min="48" max="48" width="9.7109375" bestFit="1" customWidth="1"/>
    <col min="49" max="50" width="8.140625" bestFit="1" customWidth="1"/>
    <col min="51" max="51" width="11.28515625" bestFit="1" customWidth="1"/>
  </cols>
  <sheetData>
    <row r="1" spans="1:4" x14ac:dyDescent="0.25">
      <c r="A1" s="17" t="s">
        <v>131</v>
      </c>
      <c r="B1" s="17"/>
      <c r="C1" s="17"/>
      <c r="D1" s="17"/>
    </row>
    <row r="3" spans="1:4" x14ac:dyDescent="0.25">
      <c r="A3" s="6" t="s">
        <v>2</v>
      </c>
      <c r="B3" t="s">
        <v>117</v>
      </c>
      <c r="C3" t="s">
        <v>118</v>
      </c>
      <c r="D3" t="s">
        <v>119</v>
      </c>
    </row>
    <row r="4" spans="1:4" x14ac:dyDescent="0.25">
      <c r="A4" s="7" t="s">
        <v>35</v>
      </c>
      <c r="B4" s="4">
        <v>1671741</v>
      </c>
      <c r="C4">
        <v>76</v>
      </c>
      <c r="D4">
        <v>9</v>
      </c>
    </row>
    <row r="5" spans="1:4" x14ac:dyDescent="0.25">
      <c r="A5" s="7" t="s">
        <v>18</v>
      </c>
      <c r="B5" s="4">
        <v>906435</v>
      </c>
      <c r="C5">
        <v>75</v>
      </c>
      <c r="D5">
        <v>10</v>
      </c>
    </row>
    <row r="6" spans="1:4" x14ac:dyDescent="0.25">
      <c r="A6" s="7" t="s">
        <v>11</v>
      </c>
      <c r="B6" s="4">
        <v>638490</v>
      </c>
      <c r="C6">
        <v>60</v>
      </c>
      <c r="D6">
        <v>10</v>
      </c>
    </row>
    <row r="7" spans="1:4" x14ac:dyDescent="0.25">
      <c r="A7" s="7" t="s">
        <v>28</v>
      </c>
      <c r="B7" s="4">
        <v>312985</v>
      </c>
      <c r="C7">
        <v>62</v>
      </c>
      <c r="D7">
        <v>10</v>
      </c>
    </row>
    <row r="8" spans="1:4" x14ac:dyDescent="0.25">
      <c r="A8" s="7" t="s">
        <v>23</v>
      </c>
      <c r="B8" s="4">
        <v>299331</v>
      </c>
      <c r="C8">
        <v>63</v>
      </c>
      <c r="D8">
        <v>10</v>
      </c>
    </row>
    <row r="9" spans="1:4" x14ac:dyDescent="0.25">
      <c r="A9" s="7" t="s">
        <v>116</v>
      </c>
      <c r="B9" s="4">
        <v>3828982</v>
      </c>
      <c r="C9">
        <v>336</v>
      </c>
      <c r="D9">
        <v>49</v>
      </c>
    </row>
    <row r="12" spans="1:4" x14ac:dyDescent="0.25">
      <c r="A12" s="17" t="s">
        <v>103</v>
      </c>
      <c r="B12" s="17"/>
      <c r="C12" s="17"/>
      <c r="D12" s="17"/>
    </row>
    <row r="14" spans="1:4" x14ac:dyDescent="0.25">
      <c r="A14" s="6" t="s">
        <v>4</v>
      </c>
      <c r="B14" t="s">
        <v>117</v>
      </c>
      <c r="C14" t="s">
        <v>118</v>
      </c>
      <c r="D14" t="s">
        <v>119</v>
      </c>
    </row>
    <row r="15" spans="1:4" x14ac:dyDescent="0.25">
      <c r="A15" s="7" t="s">
        <v>13</v>
      </c>
      <c r="B15" s="4">
        <v>2593250</v>
      </c>
      <c r="C15">
        <v>49</v>
      </c>
      <c r="D15">
        <v>9</v>
      </c>
    </row>
    <row r="16" spans="1:4" x14ac:dyDescent="0.25">
      <c r="A16" s="7" t="s">
        <v>20</v>
      </c>
      <c r="B16" s="4">
        <v>411300</v>
      </c>
      <c r="C16">
        <v>24</v>
      </c>
      <c r="D16">
        <v>9</v>
      </c>
    </row>
    <row r="17" spans="1:4" x14ac:dyDescent="0.25">
      <c r="A17" s="7" t="s">
        <v>30</v>
      </c>
      <c r="B17" s="4">
        <v>302125</v>
      </c>
      <c r="C17">
        <v>25</v>
      </c>
      <c r="D17">
        <v>8</v>
      </c>
    </row>
    <row r="18" spans="1:4" x14ac:dyDescent="0.25">
      <c r="A18" s="7" t="s">
        <v>41</v>
      </c>
      <c r="B18" s="4">
        <v>225015</v>
      </c>
      <c r="C18">
        <v>66</v>
      </c>
      <c r="D18">
        <v>7</v>
      </c>
    </row>
    <row r="19" spans="1:4" x14ac:dyDescent="0.25">
      <c r="A19" s="7" t="s">
        <v>78</v>
      </c>
      <c r="B19" s="4">
        <v>189100</v>
      </c>
      <c r="C19">
        <v>79</v>
      </c>
      <c r="D19">
        <v>9</v>
      </c>
    </row>
    <row r="20" spans="1:4" x14ac:dyDescent="0.25">
      <c r="A20" s="7" t="s">
        <v>36</v>
      </c>
      <c r="B20" s="4">
        <v>108192</v>
      </c>
      <c r="C20">
        <v>93</v>
      </c>
      <c r="D20">
        <v>7</v>
      </c>
    </row>
    <row r="21" spans="1:4" x14ac:dyDescent="0.25">
      <c r="A21" s="7" t="s">
        <v>116</v>
      </c>
      <c r="B21" s="4">
        <v>3828982</v>
      </c>
      <c r="C21">
        <v>336</v>
      </c>
      <c r="D21">
        <v>49</v>
      </c>
    </row>
    <row r="23" spans="1:4" x14ac:dyDescent="0.25">
      <c r="A23" s="17" t="s">
        <v>114</v>
      </c>
      <c r="B23" s="17"/>
      <c r="C23" s="17"/>
      <c r="D23" s="17"/>
    </row>
    <row r="25" spans="1:4" x14ac:dyDescent="0.25">
      <c r="A25" s="6" t="s">
        <v>3</v>
      </c>
      <c r="B25" t="s">
        <v>117</v>
      </c>
      <c r="C25" t="s">
        <v>118</v>
      </c>
      <c r="D25" t="s">
        <v>119</v>
      </c>
    </row>
    <row r="26" spans="1:4" x14ac:dyDescent="0.25">
      <c r="A26" s="7" t="s">
        <v>24</v>
      </c>
      <c r="B26" s="4">
        <v>1710885</v>
      </c>
      <c r="C26">
        <v>70</v>
      </c>
      <c r="D26">
        <v>12</v>
      </c>
    </row>
    <row r="27" spans="1:4" x14ac:dyDescent="0.25">
      <c r="A27" s="7" t="s">
        <v>29</v>
      </c>
      <c r="B27" s="4">
        <v>1190911</v>
      </c>
      <c r="C27">
        <v>104</v>
      </c>
      <c r="D27">
        <v>12</v>
      </c>
    </row>
    <row r="28" spans="1:4" x14ac:dyDescent="0.25">
      <c r="A28" s="7" t="s">
        <v>19</v>
      </c>
      <c r="B28" s="4">
        <v>476806</v>
      </c>
      <c r="C28">
        <v>99</v>
      </c>
      <c r="D28">
        <v>12</v>
      </c>
    </row>
    <row r="29" spans="1:4" x14ac:dyDescent="0.25">
      <c r="A29" s="7" t="s">
        <v>12</v>
      </c>
      <c r="B29" s="4">
        <v>450380</v>
      </c>
      <c r="C29">
        <v>63</v>
      </c>
      <c r="D29">
        <v>13</v>
      </c>
    </row>
    <row r="30" spans="1:4" x14ac:dyDescent="0.25">
      <c r="A30" s="7" t="s">
        <v>116</v>
      </c>
      <c r="B30" s="4">
        <v>3828982</v>
      </c>
      <c r="C30">
        <v>336</v>
      </c>
      <c r="D30">
        <v>49</v>
      </c>
    </row>
    <row r="32" spans="1:4" x14ac:dyDescent="0.25">
      <c r="A32" s="17" t="s">
        <v>112</v>
      </c>
      <c r="B32" s="17"/>
      <c r="C32" s="12"/>
      <c r="D32" s="12"/>
    </row>
    <row r="34" spans="1:3" x14ac:dyDescent="0.25">
      <c r="A34" s="6" t="s">
        <v>9</v>
      </c>
      <c r="B34" t="s">
        <v>119</v>
      </c>
    </row>
    <row r="35" spans="1:3" x14ac:dyDescent="0.25">
      <c r="A35" s="7" t="s">
        <v>16</v>
      </c>
      <c r="B35">
        <v>34</v>
      </c>
    </row>
    <row r="36" spans="1:3" x14ac:dyDescent="0.25">
      <c r="A36" s="7" t="s">
        <v>42</v>
      </c>
      <c r="B36">
        <v>8</v>
      </c>
    </row>
    <row r="37" spans="1:3" x14ac:dyDescent="0.25">
      <c r="A37" s="7" t="s">
        <v>33</v>
      </c>
      <c r="B37">
        <v>7</v>
      </c>
    </row>
    <row r="38" spans="1:3" x14ac:dyDescent="0.25">
      <c r="A38" s="7" t="s">
        <v>116</v>
      </c>
      <c r="B38">
        <v>49</v>
      </c>
    </row>
    <row r="40" spans="1:3" x14ac:dyDescent="0.25">
      <c r="A40" s="17" t="s">
        <v>120</v>
      </c>
      <c r="B40" s="17"/>
      <c r="C40" s="17"/>
    </row>
    <row r="42" spans="1:3" x14ac:dyDescent="0.25">
      <c r="A42" s="6" t="s">
        <v>132</v>
      </c>
      <c r="B42" t="s">
        <v>117</v>
      </c>
      <c r="C42" t="s">
        <v>119</v>
      </c>
    </row>
    <row r="43" spans="1:3" x14ac:dyDescent="0.25">
      <c r="A43" s="7" t="s">
        <v>121</v>
      </c>
      <c r="B43" s="4">
        <v>1301441</v>
      </c>
      <c r="C43">
        <v>30</v>
      </c>
    </row>
    <row r="44" spans="1:3" x14ac:dyDescent="0.25">
      <c r="A44" s="7" t="s">
        <v>122</v>
      </c>
      <c r="B44" s="4">
        <v>2527541</v>
      </c>
      <c r="C44">
        <v>19</v>
      </c>
    </row>
    <row r="45" spans="1:3" x14ac:dyDescent="0.25">
      <c r="A45" s="7" t="s">
        <v>116</v>
      </c>
      <c r="B45" s="4">
        <v>3828982</v>
      </c>
      <c r="C45">
        <v>49</v>
      </c>
    </row>
  </sheetData>
  <mergeCells count="5">
    <mergeCell ref="A23:D23"/>
    <mergeCell ref="A1:D1"/>
    <mergeCell ref="A12:D12"/>
    <mergeCell ref="A40:C40"/>
    <mergeCell ref="A32:B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3019-1DC0-4BDC-B46A-044357400F09}">
  <dimension ref="A1:O50"/>
  <sheetViews>
    <sheetView topLeftCell="C1" zoomScaleNormal="100" workbookViewId="0">
      <selection activeCell="G8" sqref="G8"/>
    </sheetView>
  </sheetViews>
  <sheetFormatPr defaultRowHeight="15" x14ac:dyDescent="0.25"/>
  <cols>
    <col min="1" max="1" width="10.5703125" bestFit="1" customWidth="1"/>
    <col min="2" max="2" width="13" bestFit="1" customWidth="1"/>
    <col min="3" max="3" width="14" bestFit="1" customWidth="1"/>
    <col min="4" max="4" width="9.42578125" bestFit="1" customWidth="1"/>
    <col min="5" max="5" width="10.140625" bestFit="1" customWidth="1"/>
    <col min="6" max="6" width="16.7109375" bestFit="1" customWidth="1"/>
    <col min="7" max="7" width="11" bestFit="1" customWidth="1"/>
    <col min="8" max="8" width="12" bestFit="1" customWidth="1"/>
    <col min="9" max="9" width="11" bestFit="1" customWidth="1"/>
    <col min="10" max="10" width="14" bestFit="1" customWidth="1"/>
    <col min="11" max="11" width="17" bestFit="1" customWidth="1"/>
    <col min="12" max="12" width="14.28515625" bestFit="1" customWidth="1"/>
    <col min="13" max="13" width="16.28515625" bestFit="1" customWidth="1"/>
    <col min="14" max="14" width="19" bestFit="1" customWidth="1"/>
    <col min="15" max="15" width="13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88</v>
      </c>
      <c r="J1" s="1" t="s">
        <v>87</v>
      </c>
      <c r="K1" t="s">
        <v>8</v>
      </c>
      <c r="L1" t="s">
        <v>9</v>
      </c>
      <c r="M1" t="s">
        <v>89</v>
      </c>
      <c r="N1" t="s">
        <v>90</v>
      </c>
      <c r="O1" t="s">
        <v>91</v>
      </c>
    </row>
    <row r="2" spans="1:15" x14ac:dyDescent="0.25">
      <c r="A2" t="s">
        <v>70</v>
      </c>
      <c r="B2" s="2">
        <v>46314</v>
      </c>
      <c r="C2" t="s">
        <v>35</v>
      </c>
      <c r="D2" t="s">
        <v>24</v>
      </c>
      <c r="E2" t="s">
        <v>13</v>
      </c>
      <c r="F2" t="s">
        <v>26</v>
      </c>
      <c r="G2">
        <v>15</v>
      </c>
      <c r="H2">
        <v>55000</v>
      </c>
      <c r="I2">
        <v>2</v>
      </c>
      <c r="J2" s="3">
        <f t="shared" ref="J2:J33" si="0">I2/100</f>
        <v>0.02</v>
      </c>
      <c r="K2" t="s">
        <v>37</v>
      </c>
      <c r="L2" t="s">
        <v>16</v>
      </c>
      <c r="M2" s="4">
        <f>SalesData[[#This Row],[Quantity]]*SalesData[[#This Row],[Unit Price]]</f>
        <v>825000</v>
      </c>
      <c r="N2" s="4">
        <f>SalesData[[#This Row],[Sales  Amount]]*SalesData[[#This Row],[Discount %2]]</f>
        <v>16500</v>
      </c>
      <c r="O2" s="4">
        <f>SalesData[[#This Row],[Sales  Amount]]-SalesData[[#This Row],[Discount Amount]]</f>
        <v>808500</v>
      </c>
    </row>
    <row r="3" spans="1:15" x14ac:dyDescent="0.25">
      <c r="A3" t="s">
        <v>75</v>
      </c>
      <c r="B3" s="2">
        <v>46316</v>
      </c>
      <c r="C3" t="s">
        <v>35</v>
      </c>
      <c r="D3" t="s">
        <v>29</v>
      </c>
      <c r="E3" t="s">
        <v>13</v>
      </c>
      <c r="F3" t="s">
        <v>14</v>
      </c>
      <c r="G3">
        <v>12</v>
      </c>
      <c r="H3">
        <v>55000</v>
      </c>
      <c r="I3">
        <v>4</v>
      </c>
      <c r="J3" s="3">
        <f t="shared" si="0"/>
        <v>0.04</v>
      </c>
      <c r="K3" t="s">
        <v>37</v>
      </c>
      <c r="L3" t="s">
        <v>16</v>
      </c>
      <c r="M3" s="4">
        <f>SalesData[[#This Row],[Quantity]]*SalesData[[#This Row],[Unit Price]]</f>
        <v>660000</v>
      </c>
      <c r="N3" s="4">
        <f>SalesData[[#This Row],[Sales  Amount]]*SalesData[[#This Row],[Discount %2]]</f>
        <v>26400</v>
      </c>
      <c r="O3" s="4">
        <f>SalesData[[#This Row],[Sales  Amount]]-SalesData[[#This Row],[Discount Amount]]</f>
        <v>633600</v>
      </c>
    </row>
    <row r="4" spans="1:15" x14ac:dyDescent="0.25">
      <c r="A4" t="s">
        <v>83</v>
      </c>
      <c r="B4" s="2">
        <v>46320</v>
      </c>
      <c r="C4" t="s">
        <v>18</v>
      </c>
      <c r="D4" t="s">
        <v>24</v>
      </c>
      <c r="E4" t="s">
        <v>84</v>
      </c>
      <c r="F4" t="s">
        <v>26</v>
      </c>
      <c r="G4">
        <v>11</v>
      </c>
      <c r="H4">
        <v>55000</v>
      </c>
      <c r="I4">
        <v>4</v>
      </c>
      <c r="J4" s="3">
        <f t="shared" si="0"/>
        <v>0.04</v>
      </c>
      <c r="K4" t="s">
        <v>15</v>
      </c>
      <c r="L4" t="s">
        <v>33</v>
      </c>
      <c r="M4" s="4">
        <f>SalesData[[#This Row],[Quantity]]*SalesData[[#This Row],[Unit Price]]</f>
        <v>605000</v>
      </c>
      <c r="N4" s="4">
        <f>SalesData[[#This Row],[Sales  Amount]]*SalesData[[#This Row],[Discount %2]]</f>
        <v>24200</v>
      </c>
      <c r="O4" s="4">
        <f>SalesData[[#This Row],[Sales  Amount]]-SalesData[[#This Row],[Discount Amount]]</f>
        <v>580800</v>
      </c>
    </row>
    <row r="5" spans="1:15" x14ac:dyDescent="0.25">
      <c r="A5" t="s">
        <v>51</v>
      </c>
      <c r="B5" s="2">
        <v>46274</v>
      </c>
      <c r="C5" t="s">
        <v>11</v>
      </c>
      <c r="D5" t="s">
        <v>29</v>
      </c>
      <c r="E5" t="s">
        <v>13</v>
      </c>
      <c r="F5" t="s">
        <v>14</v>
      </c>
      <c r="G5">
        <v>3</v>
      </c>
      <c r="H5">
        <v>55000</v>
      </c>
      <c r="I5">
        <v>8</v>
      </c>
      <c r="J5" s="3">
        <f t="shared" si="0"/>
        <v>0.08</v>
      </c>
      <c r="K5" t="s">
        <v>21</v>
      </c>
      <c r="L5" t="s">
        <v>16</v>
      </c>
      <c r="M5" s="4">
        <f>SalesData[[#This Row],[Quantity]]*SalesData[[#This Row],[Unit Price]]</f>
        <v>165000</v>
      </c>
      <c r="N5" s="4">
        <f>SalesData[[#This Row],[Sales  Amount]]*SalesData[[#This Row],[Discount %2]]</f>
        <v>13200</v>
      </c>
      <c r="O5" s="4">
        <f>SalesData[[#This Row],[Sales  Amount]]-SalesData[[#This Row],[Discount Amount]]</f>
        <v>151800</v>
      </c>
    </row>
    <row r="6" spans="1:15" x14ac:dyDescent="0.25">
      <c r="A6" t="s">
        <v>10</v>
      </c>
      <c r="B6" s="2">
        <v>46266</v>
      </c>
      <c r="C6" t="s">
        <v>11</v>
      </c>
      <c r="D6" t="s">
        <v>12</v>
      </c>
      <c r="E6" t="s">
        <v>13</v>
      </c>
      <c r="F6" t="s">
        <v>14</v>
      </c>
      <c r="G6">
        <v>2</v>
      </c>
      <c r="H6">
        <v>55000</v>
      </c>
      <c r="I6">
        <v>5</v>
      </c>
      <c r="J6" s="3">
        <f t="shared" si="0"/>
        <v>0.05</v>
      </c>
      <c r="K6" t="s">
        <v>15</v>
      </c>
      <c r="L6" t="s">
        <v>16</v>
      </c>
      <c r="M6" s="4">
        <f>SalesData[[#This Row],[Quantity]]*SalesData[[#This Row],[Unit Price]]</f>
        <v>110000</v>
      </c>
      <c r="N6" s="4">
        <f>SalesData[[#This Row],[Sales  Amount]]*SalesData[[#This Row],[Discount %2]]</f>
        <v>5500</v>
      </c>
      <c r="O6" s="4">
        <f>SalesData[[#This Row],[Sales  Amount]]-SalesData[[#This Row],[Discount Amount]]</f>
        <v>104500</v>
      </c>
    </row>
    <row r="7" spans="1:15" x14ac:dyDescent="0.25">
      <c r="A7" t="s">
        <v>57</v>
      </c>
      <c r="B7" s="2">
        <v>46277</v>
      </c>
      <c r="C7" t="s">
        <v>18</v>
      </c>
      <c r="D7" t="s">
        <v>19</v>
      </c>
      <c r="E7" t="s">
        <v>13</v>
      </c>
      <c r="F7" t="s">
        <v>26</v>
      </c>
      <c r="G7">
        <v>2</v>
      </c>
      <c r="H7">
        <v>55000</v>
      </c>
      <c r="I7">
        <v>5</v>
      </c>
      <c r="J7" s="3">
        <f t="shared" si="0"/>
        <v>0.05</v>
      </c>
      <c r="K7" t="s">
        <v>39</v>
      </c>
      <c r="L7" t="s">
        <v>16</v>
      </c>
      <c r="M7" s="4">
        <f>SalesData[[#This Row],[Quantity]]*SalesData[[#This Row],[Unit Price]]</f>
        <v>110000</v>
      </c>
      <c r="N7" s="4">
        <f>SalesData[[#This Row],[Sales  Amount]]*SalesData[[#This Row],[Discount %2]]</f>
        <v>5500</v>
      </c>
      <c r="O7" s="4">
        <f>SalesData[[#This Row],[Sales  Amount]]-SalesData[[#This Row],[Discount Amount]]</f>
        <v>104500</v>
      </c>
    </row>
    <row r="8" spans="1:15" x14ac:dyDescent="0.25">
      <c r="A8" t="s">
        <v>46</v>
      </c>
      <c r="B8" s="2">
        <v>46271</v>
      </c>
      <c r="C8" t="s">
        <v>11</v>
      </c>
      <c r="D8" t="s">
        <v>24</v>
      </c>
      <c r="E8" t="s">
        <v>13</v>
      </c>
      <c r="F8" t="s">
        <v>14</v>
      </c>
      <c r="G8">
        <v>2</v>
      </c>
      <c r="H8">
        <v>55000</v>
      </c>
      <c r="I8">
        <v>6</v>
      </c>
      <c r="J8" s="3">
        <f t="shared" si="0"/>
        <v>0.06</v>
      </c>
      <c r="K8" t="s">
        <v>21</v>
      </c>
      <c r="L8" t="s">
        <v>42</v>
      </c>
      <c r="M8" s="4">
        <f>SalesData[[#This Row],[Quantity]]*SalesData[[#This Row],[Unit Price]]</f>
        <v>110000</v>
      </c>
      <c r="N8" s="4">
        <f>SalesData[[#This Row],[Sales  Amount]]*SalesData[[#This Row],[Discount %2]]</f>
        <v>6600</v>
      </c>
      <c r="O8" s="4">
        <f>SalesData[[#This Row],[Sales  Amount]]-SalesData[[#This Row],[Discount Amount]]</f>
        <v>103400</v>
      </c>
    </row>
    <row r="9" spans="1:15" x14ac:dyDescent="0.25">
      <c r="A9" t="s">
        <v>71</v>
      </c>
      <c r="B9" s="2">
        <v>46314</v>
      </c>
      <c r="C9" t="s">
        <v>11</v>
      </c>
      <c r="D9" t="s">
        <v>29</v>
      </c>
      <c r="E9" t="s">
        <v>41</v>
      </c>
      <c r="F9" t="s">
        <v>26</v>
      </c>
      <c r="G9">
        <v>25</v>
      </c>
      <c r="H9">
        <v>3500</v>
      </c>
      <c r="I9">
        <v>0</v>
      </c>
      <c r="J9" s="3">
        <f t="shared" si="0"/>
        <v>0</v>
      </c>
      <c r="K9" t="s">
        <v>15</v>
      </c>
      <c r="L9" t="s">
        <v>33</v>
      </c>
      <c r="M9" s="4">
        <f>SalesData[[#This Row],[Quantity]]*SalesData[[#This Row],[Unit Price]]</f>
        <v>87500</v>
      </c>
      <c r="N9" s="4">
        <f>SalesData[[#This Row],[Sales  Amount]]*SalesData[[#This Row],[Discount %2]]</f>
        <v>0</v>
      </c>
      <c r="O9" s="4">
        <f>SalesData[[#This Row],[Sales  Amount]]-SalesData[[#This Row],[Discount Amount]]</f>
        <v>87500</v>
      </c>
    </row>
    <row r="10" spans="1:15" x14ac:dyDescent="0.25">
      <c r="A10" t="s">
        <v>60</v>
      </c>
      <c r="B10" s="2">
        <v>46278</v>
      </c>
      <c r="C10" t="s">
        <v>35</v>
      </c>
      <c r="D10" t="s">
        <v>12</v>
      </c>
      <c r="E10" t="s">
        <v>20</v>
      </c>
      <c r="F10" t="s">
        <v>26</v>
      </c>
      <c r="G10">
        <v>4</v>
      </c>
      <c r="H10">
        <v>18000</v>
      </c>
      <c r="I10">
        <v>6</v>
      </c>
      <c r="J10" s="3">
        <f t="shared" si="0"/>
        <v>0.06</v>
      </c>
      <c r="K10" t="s">
        <v>15</v>
      </c>
      <c r="L10" t="s">
        <v>42</v>
      </c>
      <c r="M10" s="4">
        <f>SalesData[[#This Row],[Quantity]]*SalesData[[#This Row],[Unit Price]]</f>
        <v>72000</v>
      </c>
      <c r="N10" s="4">
        <f>SalesData[[#This Row],[Sales  Amount]]*SalesData[[#This Row],[Discount %2]]</f>
        <v>4320</v>
      </c>
      <c r="O10" s="4">
        <f>SalesData[[#This Row],[Sales  Amount]]-SalesData[[#This Row],[Discount Amount]]</f>
        <v>67680</v>
      </c>
    </row>
    <row r="11" spans="1:15" x14ac:dyDescent="0.25">
      <c r="A11" t="s">
        <v>43</v>
      </c>
      <c r="B11" s="2">
        <v>46270</v>
      </c>
      <c r="C11" t="s">
        <v>23</v>
      </c>
      <c r="D11" t="s">
        <v>29</v>
      </c>
      <c r="E11" t="s">
        <v>20</v>
      </c>
      <c r="F11" t="s">
        <v>14</v>
      </c>
      <c r="G11">
        <v>4</v>
      </c>
      <c r="H11">
        <v>18000</v>
      </c>
      <c r="I11">
        <v>7</v>
      </c>
      <c r="J11" s="3">
        <f t="shared" si="0"/>
        <v>7.0000000000000007E-2</v>
      </c>
      <c r="K11" t="s">
        <v>21</v>
      </c>
      <c r="L11" t="s">
        <v>16</v>
      </c>
      <c r="M11" s="4">
        <f>SalesData[[#This Row],[Quantity]]*SalesData[[#This Row],[Unit Price]]</f>
        <v>72000</v>
      </c>
      <c r="N11" s="4">
        <f>SalesData[[#This Row],[Sales  Amount]]*SalesData[[#This Row],[Discount %2]]</f>
        <v>5040.0000000000009</v>
      </c>
      <c r="O11" s="4">
        <f>SalesData[[#This Row],[Sales  Amount]]-SalesData[[#This Row],[Discount Amount]]</f>
        <v>66960</v>
      </c>
    </row>
    <row r="12" spans="1:15" x14ac:dyDescent="0.25">
      <c r="A12" t="s">
        <v>73</v>
      </c>
      <c r="B12" s="2">
        <v>46315</v>
      </c>
      <c r="C12" t="s">
        <v>23</v>
      </c>
      <c r="D12" t="s">
        <v>19</v>
      </c>
      <c r="E12" t="s">
        <v>30</v>
      </c>
      <c r="F12" t="s">
        <v>31</v>
      </c>
      <c r="G12">
        <v>5</v>
      </c>
      <c r="H12">
        <v>12500</v>
      </c>
      <c r="I12">
        <v>6</v>
      </c>
      <c r="J12" s="3">
        <f t="shared" si="0"/>
        <v>0.06</v>
      </c>
      <c r="K12" t="s">
        <v>39</v>
      </c>
      <c r="L12" t="s">
        <v>16</v>
      </c>
      <c r="M12" s="4">
        <f>SalesData[[#This Row],[Quantity]]*SalesData[[#This Row],[Unit Price]]</f>
        <v>62500</v>
      </c>
      <c r="N12" s="4">
        <f>SalesData[[#This Row],[Sales  Amount]]*SalesData[[#This Row],[Discount %2]]</f>
        <v>3750</v>
      </c>
      <c r="O12" s="4">
        <f>SalesData[[#This Row],[Sales  Amount]]-SalesData[[#This Row],[Discount Amount]]</f>
        <v>58750</v>
      </c>
    </row>
    <row r="13" spans="1:15" x14ac:dyDescent="0.25">
      <c r="A13" t="s">
        <v>63</v>
      </c>
      <c r="B13" s="2">
        <v>46280</v>
      </c>
      <c r="C13" t="s">
        <v>23</v>
      </c>
      <c r="D13" t="s">
        <v>29</v>
      </c>
      <c r="E13" t="s">
        <v>13</v>
      </c>
      <c r="F13" t="s">
        <v>26</v>
      </c>
      <c r="G13">
        <v>1</v>
      </c>
      <c r="H13">
        <v>55000</v>
      </c>
      <c r="I13">
        <v>3</v>
      </c>
      <c r="J13" s="3">
        <f t="shared" si="0"/>
        <v>0.03</v>
      </c>
      <c r="K13" t="s">
        <v>21</v>
      </c>
      <c r="L13" t="s">
        <v>33</v>
      </c>
      <c r="M13" s="4">
        <f>SalesData[[#This Row],[Quantity]]*SalesData[[#This Row],[Unit Price]]</f>
        <v>55000</v>
      </c>
      <c r="N13" s="4">
        <f>SalesData[[#This Row],[Sales  Amount]]*SalesData[[#This Row],[Discount %2]]</f>
        <v>1650</v>
      </c>
      <c r="O13" s="4">
        <f>SalesData[[#This Row],[Sales  Amount]]-SalesData[[#This Row],[Discount Amount]]</f>
        <v>53350</v>
      </c>
    </row>
    <row r="14" spans="1:15" x14ac:dyDescent="0.25">
      <c r="A14" t="s">
        <v>38</v>
      </c>
      <c r="B14" s="2">
        <v>46268</v>
      </c>
      <c r="C14" t="s">
        <v>11</v>
      </c>
      <c r="D14" t="s">
        <v>19</v>
      </c>
      <c r="E14" t="s">
        <v>13</v>
      </c>
      <c r="F14" t="s">
        <v>14</v>
      </c>
      <c r="G14">
        <v>1</v>
      </c>
      <c r="H14">
        <v>55000</v>
      </c>
      <c r="I14">
        <v>4</v>
      </c>
      <c r="J14" s="3">
        <f t="shared" si="0"/>
        <v>0.04</v>
      </c>
      <c r="K14" t="s">
        <v>39</v>
      </c>
      <c r="L14" t="s">
        <v>16</v>
      </c>
      <c r="M14" s="4">
        <f>SalesData[[#This Row],[Quantity]]*SalesData[[#This Row],[Unit Price]]</f>
        <v>55000</v>
      </c>
      <c r="N14" s="4">
        <f>SalesData[[#This Row],[Sales  Amount]]*SalesData[[#This Row],[Discount %2]]</f>
        <v>2200</v>
      </c>
      <c r="O14" s="4">
        <f>SalesData[[#This Row],[Sales  Amount]]-SalesData[[#This Row],[Discount Amount]]</f>
        <v>52800</v>
      </c>
    </row>
    <row r="15" spans="1:15" x14ac:dyDescent="0.25">
      <c r="A15" t="s">
        <v>17</v>
      </c>
      <c r="B15" s="2">
        <v>46266</v>
      </c>
      <c r="C15" t="s">
        <v>18</v>
      </c>
      <c r="D15" t="s">
        <v>19</v>
      </c>
      <c r="E15" t="s">
        <v>20</v>
      </c>
      <c r="F15" t="s">
        <v>14</v>
      </c>
      <c r="G15">
        <v>3</v>
      </c>
      <c r="H15">
        <v>18000</v>
      </c>
      <c r="I15">
        <v>3</v>
      </c>
      <c r="J15" s="3">
        <f t="shared" si="0"/>
        <v>0.03</v>
      </c>
      <c r="K15" t="s">
        <v>21</v>
      </c>
      <c r="L15" t="s">
        <v>16</v>
      </c>
      <c r="M15" s="4">
        <f>SalesData[[#This Row],[Quantity]]*SalesData[[#This Row],[Unit Price]]</f>
        <v>54000</v>
      </c>
      <c r="N15" s="4">
        <f>SalesData[[#This Row],[Sales  Amount]]*SalesData[[#This Row],[Discount %2]]</f>
        <v>1620</v>
      </c>
      <c r="O15" s="4">
        <f>SalesData[[#This Row],[Sales  Amount]]-SalesData[[#This Row],[Discount Amount]]</f>
        <v>52380</v>
      </c>
    </row>
    <row r="16" spans="1:15" x14ac:dyDescent="0.25">
      <c r="A16" t="s">
        <v>86</v>
      </c>
      <c r="B16" s="2">
        <v>46321</v>
      </c>
      <c r="C16" t="s">
        <v>28</v>
      </c>
      <c r="D16" t="s">
        <v>12</v>
      </c>
      <c r="E16" t="s">
        <v>20</v>
      </c>
      <c r="F16" t="s">
        <v>14</v>
      </c>
      <c r="G16">
        <v>3</v>
      </c>
      <c r="H16">
        <v>18000</v>
      </c>
      <c r="I16">
        <v>4</v>
      </c>
      <c r="J16" s="3">
        <f t="shared" si="0"/>
        <v>0.04</v>
      </c>
      <c r="K16" t="s">
        <v>15</v>
      </c>
      <c r="L16" t="s">
        <v>16</v>
      </c>
      <c r="M16" s="4">
        <f>SalesData[[#This Row],[Quantity]]*SalesData[[#This Row],[Unit Price]]</f>
        <v>54000</v>
      </c>
      <c r="N16" s="4">
        <f>SalesData[[#This Row],[Sales  Amount]]*SalesData[[#This Row],[Discount %2]]</f>
        <v>2160</v>
      </c>
      <c r="O16" s="4">
        <f>SalesData[[#This Row],[Sales  Amount]]-SalesData[[#This Row],[Discount Amount]]</f>
        <v>51840</v>
      </c>
    </row>
    <row r="17" spans="1:15" x14ac:dyDescent="0.25">
      <c r="A17" t="s">
        <v>54</v>
      </c>
      <c r="B17" s="2">
        <v>46275</v>
      </c>
      <c r="C17" t="s">
        <v>28</v>
      </c>
      <c r="D17" t="s">
        <v>24</v>
      </c>
      <c r="E17" t="s">
        <v>20</v>
      </c>
      <c r="F17" t="s">
        <v>14</v>
      </c>
      <c r="G17">
        <v>3</v>
      </c>
      <c r="H17">
        <v>18000</v>
      </c>
      <c r="I17">
        <v>5</v>
      </c>
      <c r="J17" s="3">
        <f t="shared" si="0"/>
        <v>0.05</v>
      </c>
      <c r="K17" t="s">
        <v>15</v>
      </c>
      <c r="L17" t="s">
        <v>16</v>
      </c>
      <c r="M17" s="4">
        <f>SalesData[[#This Row],[Quantity]]*SalesData[[#This Row],[Unit Price]]</f>
        <v>54000</v>
      </c>
      <c r="N17" s="4">
        <f>SalesData[[#This Row],[Sales  Amount]]*SalesData[[#This Row],[Discount %2]]</f>
        <v>2700</v>
      </c>
      <c r="O17" s="4">
        <f>SalesData[[#This Row],[Sales  Amount]]-SalesData[[#This Row],[Discount Amount]]</f>
        <v>51300</v>
      </c>
    </row>
    <row r="18" spans="1:15" x14ac:dyDescent="0.25">
      <c r="A18" t="s">
        <v>55</v>
      </c>
      <c r="B18" s="2">
        <v>46276</v>
      </c>
      <c r="C18" t="s">
        <v>35</v>
      </c>
      <c r="D18" t="s">
        <v>29</v>
      </c>
      <c r="E18" t="s">
        <v>30</v>
      </c>
      <c r="F18" t="s">
        <v>31</v>
      </c>
      <c r="G18">
        <v>4</v>
      </c>
      <c r="H18">
        <v>12500</v>
      </c>
      <c r="I18">
        <v>6</v>
      </c>
      <c r="J18" s="3">
        <f t="shared" si="0"/>
        <v>0.06</v>
      </c>
      <c r="K18" t="s">
        <v>32</v>
      </c>
      <c r="L18" t="s">
        <v>33</v>
      </c>
      <c r="M18" s="4">
        <f>SalesData[[#This Row],[Quantity]]*SalesData[[#This Row],[Unit Price]]</f>
        <v>50000</v>
      </c>
      <c r="N18" s="4">
        <f>SalesData[[#This Row],[Sales  Amount]]*SalesData[[#This Row],[Discount %2]]</f>
        <v>3000</v>
      </c>
      <c r="O18" s="4">
        <f>SalesData[[#This Row],[Sales  Amount]]-SalesData[[#This Row],[Discount Amount]]</f>
        <v>47000</v>
      </c>
    </row>
    <row r="19" spans="1:15" x14ac:dyDescent="0.25">
      <c r="A19" t="s">
        <v>77</v>
      </c>
      <c r="B19" s="2">
        <v>46317</v>
      </c>
      <c r="C19" t="s">
        <v>18</v>
      </c>
      <c r="D19" t="s">
        <v>19</v>
      </c>
      <c r="E19" t="s">
        <v>78</v>
      </c>
      <c r="F19" t="s">
        <v>26</v>
      </c>
      <c r="G19">
        <v>20</v>
      </c>
      <c r="H19">
        <v>2500</v>
      </c>
      <c r="I19">
        <v>8</v>
      </c>
      <c r="J19" s="3">
        <f t="shared" si="0"/>
        <v>0.08</v>
      </c>
      <c r="K19" t="s">
        <v>32</v>
      </c>
      <c r="L19" t="s">
        <v>42</v>
      </c>
      <c r="M19" s="4">
        <f>SalesData[[#This Row],[Quantity]]*SalesData[[#This Row],[Unit Price]]</f>
        <v>50000</v>
      </c>
      <c r="N19" s="4">
        <f>SalesData[[#This Row],[Sales  Amount]]*SalesData[[#This Row],[Discount %2]]</f>
        <v>4000</v>
      </c>
      <c r="O19" s="4">
        <f>SalesData[[#This Row],[Sales  Amount]]-SalesData[[#This Row],[Discount Amount]]</f>
        <v>46000</v>
      </c>
    </row>
    <row r="20" spans="1:15" x14ac:dyDescent="0.25">
      <c r="A20" t="s">
        <v>44</v>
      </c>
      <c r="B20" s="2">
        <v>46270</v>
      </c>
      <c r="C20" t="s">
        <v>28</v>
      </c>
      <c r="D20" t="s">
        <v>12</v>
      </c>
      <c r="E20" t="s">
        <v>30</v>
      </c>
      <c r="F20" t="s">
        <v>31</v>
      </c>
      <c r="G20">
        <v>3</v>
      </c>
      <c r="H20">
        <v>12500</v>
      </c>
      <c r="I20">
        <v>3</v>
      </c>
      <c r="J20" s="3">
        <f t="shared" si="0"/>
        <v>0.03</v>
      </c>
      <c r="K20" t="s">
        <v>15</v>
      </c>
      <c r="L20" t="s">
        <v>16</v>
      </c>
      <c r="M20" s="4">
        <f>SalesData[[#This Row],[Quantity]]*SalesData[[#This Row],[Unit Price]]</f>
        <v>37500</v>
      </c>
      <c r="N20" s="4">
        <f>SalesData[[#This Row],[Sales  Amount]]*SalesData[[#This Row],[Discount %2]]</f>
        <v>1125</v>
      </c>
      <c r="O20" s="4">
        <f>SalesData[[#This Row],[Sales  Amount]]-SalesData[[#This Row],[Discount Amount]]</f>
        <v>36375</v>
      </c>
    </row>
    <row r="21" spans="1:15" x14ac:dyDescent="0.25">
      <c r="A21" t="s">
        <v>67</v>
      </c>
      <c r="B21" s="2">
        <v>46312</v>
      </c>
      <c r="C21" t="s">
        <v>18</v>
      </c>
      <c r="D21" t="s">
        <v>29</v>
      </c>
      <c r="E21" t="s">
        <v>30</v>
      </c>
      <c r="F21" t="s">
        <v>14</v>
      </c>
      <c r="G21">
        <v>3</v>
      </c>
      <c r="H21">
        <v>12500</v>
      </c>
      <c r="I21">
        <v>3</v>
      </c>
      <c r="J21" s="3">
        <f t="shared" si="0"/>
        <v>0.03</v>
      </c>
      <c r="K21" t="s">
        <v>39</v>
      </c>
      <c r="L21" t="s">
        <v>16</v>
      </c>
      <c r="M21" s="4">
        <f>SalesData[[#This Row],[Quantity]]*SalesData[[#This Row],[Unit Price]]</f>
        <v>37500</v>
      </c>
      <c r="N21" s="4">
        <f>SalesData[[#This Row],[Sales  Amount]]*SalesData[[#This Row],[Discount %2]]</f>
        <v>1125</v>
      </c>
      <c r="O21" s="4">
        <f>SalesData[[#This Row],[Sales  Amount]]-SalesData[[#This Row],[Discount Amount]]</f>
        <v>36375</v>
      </c>
    </row>
    <row r="22" spans="1:15" x14ac:dyDescent="0.25">
      <c r="A22" t="s">
        <v>81</v>
      </c>
      <c r="B22" s="2">
        <v>46319</v>
      </c>
      <c r="C22" t="s">
        <v>35</v>
      </c>
      <c r="D22" t="s">
        <v>12</v>
      </c>
      <c r="E22" t="s">
        <v>30</v>
      </c>
      <c r="F22" t="s">
        <v>14</v>
      </c>
      <c r="G22">
        <v>3</v>
      </c>
      <c r="H22">
        <v>12500</v>
      </c>
      <c r="I22">
        <v>3</v>
      </c>
      <c r="J22" s="3">
        <f t="shared" si="0"/>
        <v>0.03</v>
      </c>
      <c r="K22" t="s">
        <v>39</v>
      </c>
      <c r="L22" t="s">
        <v>16</v>
      </c>
      <c r="M22" s="4">
        <f>SalesData[[#This Row],[Quantity]]*SalesData[[#This Row],[Unit Price]]</f>
        <v>37500</v>
      </c>
      <c r="N22" s="4">
        <f>SalesData[[#This Row],[Sales  Amount]]*SalesData[[#This Row],[Discount %2]]</f>
        <v>1125</v>
      </c>
      <c r="O22" s="4">
        <f>SalesData[[#This Row],[Sales  Amount]]-SalesData[[#This Row],[Discount Amount]]</f>
        <v>36375</v>
      </c>
    </row>
    <row r="23" spans="1:15" x14ac:dyDescent="0.25">
      <c r="A23" t="s">
        <v>61</v>
      </c>
      <c r="B23" s="2">
        <v>46279</v>
      </c>
      <c r="C23" t="s">
        <v>11</v>
      </c>
      <c r="D23" t="s">
        <v>19</v>
      </c>
      <c r="E23" t="s">
        <v>30</v>
      </c>
      <c r="F23" t="s">
        <v>14</v>
      </c>
      <c r="G23">
        <v>3</v>
      </c>
      <c r="H23">
        <v>12500</v>
      </c>
      <c r="I23">
        <v>4</v>
      </c>
      <c r="J23" s="3">
        <f t="shared" si="0"/>
        <v>0.04</v>
      </c>
      <c r="K23" t="s">
        <v>32</v>
      </c>
      <c r="L23" t="s">
        <v>16</v>
      </c>
      <c r="M23" s="4">
        <f>SalesData[[#This Row],[Quantity]]*SalesData[[#This Row],[Unit Price]]</f>
        <v>37500</v>
      </c>
      <c r="N23" s="4">
        <f>SalesData[[#This Row],[Sales  Amount]]*SalesData[[#This Row],[Discount %2]]</f>
        <v>1500</v>
      </c>
      <c r="O23" s="4">
        <f>SalesData[[#This Row],[Sales  Amount]]-SalesData[[#This Row],[Discount Amount]]</f>
        <v>36000</v>
      </c>
    </row>
    <row r="24" spans="1:15" x14ac:dyDescent="0.25">
      <c r="A24" t="s">
        <v>80</v>
      </c>
      <c r="B24" s="2">
        <v>46318</v>
      </c>
      <c r="C24" t="s">
        <v>28</v>
      </c>
      <c r="D24" t="s">
        <v>29</v>
      </c>
      <c r="E24" t="s">
        <v>20</v>
      </c>
      <c r="F24" t="s">
        <v>14</v>
      </c>
      <c r="G24">
        <v>2</v>
      </c>
      <c r="H24">
        <v>18000</v>
      </c>
      <c r="I24">
        <v>2</v>
      </c>
      <c r="J24" s="3">
        <f t="shared" si="0"/>
        <v>0.02</v>
      </c>
      <c r="K24" t="s">
        <v>15</v>
      </c>
      <c r="L24" t="s">
        <v>16</v>
      </c>
      <c r="M24" s="4">
        <f>SalesData[[#This Row],[Quantity]]*SalesData[[#This Row],[Unit Price]]</f>
        <v>36000</v>
      </c>
      <c r="N24" s="4">
        <f>SalesData[[#This Row],[Sales  Amount]]*SalesData[[#This Row],[Discount %2]]</f>
        <v>720</v>
      </c>
      <c r="O24" s="4">
        <f>SalesData[[#This Row],[Sales  Amount]]-SalesData[[#This Row],[Discount Amount]]</f>
        <v>35280</v>
      </c>
    </row>
    <row r="25" spans="1:15" x14ac:dyDescent="0.25">
      <c r="A25" t="s">
        <v>48</v>
      </c>
      <c r="B25" s="2">
        <v>46272</v>
      </c>
      <c r="C25" t="s">
        <v>23</v>
      </c>
      <c r="D25" t="s">
        <v>12</v>
      </c>
      <c r="E25" t="s">
        <v>20</v>
      </c>
      <c r="F25" t="s">
        <v>14</v>
      </c>
      <c r="G25">
        <v>2</v>
      </c>
      <c r="H25">
        <v>18000</v>
      </c>
      <c r="I25">
        <v>4</v>
      </c>
      <c r="J25" s="3">
        <f t="shared" si="0"/>
        <v>0.04</v>
      </c>
      <c r="K25" t="s">
        <v>32</v>
      </c>
      <c r="L25" t="s">
        <v>16</v>
      </c>
      <c r="M25" s="4">
        <f>SalesData[[#This Row],[Quantity]]*SalesData[[#This Row],[Unit Price]]</f>
        <v>36000</v>
      </c>
      <c r="N25" s="4">
        <f>SalesData[[#This Row],[Sales  Amount]]*SalesData[[#This Row],[Discount %2]]</f>
        <v>1440</v>
      </c>
      <c r="O25" s="4">
        <f>SalesData[[#This Row],[Sales  Amount]]-SalesData[[#This Row],[Discount Amount]]</f>
        <v>34560</v>
      </c>
    </row>
    <row r="26" spans="1:15" x14ac:dyDescent="0.25">
      <c r="A26" t="s">
        <v>66</v>
      </c>
      <c r="B26" s="2">
        <v>46312</v>
      </c>
      <c r="C26" t="s">
        <v>11</v>
      </c>
      <c r="D26" t="s">
        <v>24</v>
      </c>
      <c r="E26" t="s">
        <v>20</v>
      </c>
      <c r="F26" t="s">
        <v>26</v>
      </c>
      <c r="G26">
        <v>2</v>
      </c>
      <c r="H26">
        <v>18000</v>
      </c>
      <c r="I26">
        <v>5</v>
      </c>
      <c r="J26" s="3">
        <f t="shared" si="0"/>
        <v>0.05</v>
      </c>
      <c r="K26" t="s">
        <v>21</v>
      </c>
      <c r="L26" t="s">
        <v>16</v>
      </c>
      <c r="M26" s="4">
        <f>SalesData[[#This Row],[Quantity]]*SalesData[[#This Row],[Unit Price]]</f>
        <v>36000</v>
      </c>
      <c r="N26" s="4">
        <f>SalesData[[#This Row],[Sales  Amount]]*SalesData[[#This Row],[Discount %2]]</f>
        <v>1800</v>
      </c>
      <c r="O26" s="4">
        <f>SalesData[[#This Row],[Sales  Amount]]-SalesData[[#This Row],[Discount Amount]]</f>
        <v>34200</v>
      </c>
    </row>
    <row r="27" spans="1:15" x14ac:dyDescent="0.25">
      <c r="A27" t="s">
        <v>62</v>
      </c>
      <c r="B27" s="2">
        <v>46279</v>
      </c>
      <c r="C27" t="s">
        <v>18</v>
      </c>
      <c r="D27" t="s">
        <v>24</v>
      </c>
      <c r="E27" t="s">
        <v>41</v>
      </c>
      <c r="F27" t="s">
        <v>31</v>
      </c>
      <c r="G27">
        <v>10</v>
      </c>
      <c r="H27">
        <v>3500</v>
      </c>
      <c r="I27">
        <v>5</v>
      </c>
      <c r="J27" s="3">
        <f t="shared" si="0"/>
        <v>0.05</v>
      </c>
      <c r="K27" t="s">
        <v>15</v>
      </c>
      <c r="L27" t="s">
        <v>16</v>
      </c>
      <c r="M27" s="4">
        <f>SalesData[[#This Row],[Quantity]]*SalesData[[#This Row],[Unit Price]]</f>
        <v>35000</v>
      </c>
      <c r="N27" s="4">
        <f>SalesData[[#This Row],[Sales  Amount]]*SalesData[[#This Row],[Discount %2]]</f>
        <v>1750</v>
      </c>
      <c r="O27" s="4">
        <f>SalesData[[#This Row],[Sales  Amount]]-SalesData[[#This Row],[Discount Amount]]</f>
        <v>33250</v>
      </c>
    </row>
    <row r="28" spans="1:15" x14ac:dyDescent="0.25">
      <c r="A28" t="s">
        <v>64</v>
      </c>
      <c r="B28" s="2">
        <v>46281</v>
      </c>
      <c r="C28" t="s">
        <v>28</v>
      </c>
      <c r="D28" t="s">
        <v>12</v>
      </c>
      <c r="E28" t="s">
        <v>25</v>
      </c>
      <c r="F28" t="s">
        <v>14</v>
      </c>
      <c r="G28">
        <v>12</v>
      </c>
      <c r="H28">
        <v>2500</v>
      </c>
      <c r="I28">
        <v>2</v>
      </c>
      <c r="J28" s="3">
        <f t="shared" si="0"/>
        <v>0.02</v>
      </c>
      <c r="K28" t="s">
        <v>37</v>
      </c>
      <c r="L28" t="s">
        <v>16</v>
      </c>
      <c r="M28" s="4">
        <f>SalesData[[#This Row],[Quantity]]*SalesData[[#This Row],[Unit Price]]</f>
        <v>30000</v>
      </c>
      <c r="N28" s="4">
        <f>SalesData[[#This Row],[Sales  Amount]]*SalesData[[#This Row],[Discount %2]]</f>
        <v>600</v>
      </c>
      <c r="O28" s="4">
        <f>SalesData[[#This Row],[Sales  Amount]]-SalesData[[#This Row],[Discount Amount]]</f>
        <v>29400</v>
      </c>
    </row>
    <row r="29" spans="1:15" x14ac:dyDescent="0.25">
      <c r="A29" t="s">
        <v>76</v>
      </c>
      <c r="B29" s="2">
        <v>46317</v>
      </c>
      <c r="C29" t="s">
        <v>11</v>
      </c>
      <c r="D29" t="s">
        <v>12</v>
      </c>
      <c r="E29" t="s">
        <v>41</v>
      </c>
      <c r="F29" t="s">
        <v>26</v>
      </c>
      <c r="G29">
        <v>8</v>
      </c>
      <c r="H29">
        <v>3500</v>
      </c>
      <c r="I29">
        <v>3</v>
      </c>
      <c r="J29" s="3">
        <f t="shared" si="0"/>
        <v>0.03</v>
      </c>
      <c r="K29" t="s">
        <v>15</v>
      </c>
      <c r="L29" t="s">
        <v>42</v>
      </c>
      <c r="M29" s="4">
        <f>SalesData[[#This Row],[Quantity]]*SalesData[[#This Row],[Unit Price]]</f>
        <v>28000</v>
      </c>
      <c r="N29" s="4">
        <f>SalesData[[#This Row],[Sales  Amount]]*SalesData[[#This Row],[Discount %2]]</f>
        <v>840</v>
      </c>
      <c r="O29" s="4">
        <f>SalesData[[#This Row],[Sales  Amount]]-SalesData[[#This Row],[Discount Amount]]</f>
        <v>27160</v>
      </c>
    </row>
    <row r="30" spans="1:15" x14ac:dyDescent="0.25">
      <c r="A30" t="s">
        <v>56</v>
      </c>
      <c r="B30" s="2">
        <v>46276</v>
      </c>
      <c r="C30" t="s">
        <v>11</v>
      </c>
      <c r="D30" t="s">
        <v>12</v>
      </c>
      <c r="E30" t="s">
        <v>41</v>
      </c>
      <c r="F30" t="s">
        <v>26</v>
      </c>
      <c r="G30">
        <v>8</v>
      </c>
      <c r="H30">
        <v>3500</v>
      </c>
      <c r="I30">
        <v>4</v>
      </c>
      <c r="J30" s="3">
        <f t="shared" si="0"/>
        <v>0.04</v>
      </c>
      <c r="K30" t="s">
        <v>15</v>
      </c>
      <c r="L30" t="s">
        <v>16</v>
      </c>
      <c r="M30" s="4">
        <f>SalesData[[#This Row],[Quantity]]*SalesData[[#This Row],[Unit Price]]</f>
        <v>28000</v>
      </c>
      <c r="N30" s="4">
        <f>SalesData[[#This Row],[Sales  Amount]]*SalesData[[#This Row],[Discount %2]]</f>
        <v>1120</v>
      </c>
      <c r="O30" s="4">
        <f>SalesData[[#This Row],[Sales  Amount]]-SalesData[[#This Row],[Discount Amount]]</f>
        <v>26880</v>
      </c>
    </row>
    <row r="31" spans="1:15" x14ac:dyDescent="0.25">
      <c r="A31" t="s">
        <v>45</v>
      </c>
      <c r="B31" s="2">
        <v>46271</v>
      </c>
      <c r="C31" t="s">
        <v>35</v>
      </c>
      <c r="D31" t="s">
        <v>19</v>
      </c>
      <c r="E31" t="s">
        <v>25</v>
      </c>
      <c r="F31" t="s">
        <v>26</v>
      </c>
      <c r="G31">
        <v>10</v>
      </c>
      <c r="H31">
        <v>2500</v>
      </c>
      <c r="I31">
        <v>2</v>
      </c>
      <c r="J31" s="3">
        <f t="shared" si="0"/>
        <v>0.02</v>
      </c>
      <c r="K31" t="s">
        <v>37</v>
      </c>
      <c r="L31" t="s">
        <v>16</v>
      </c>
      <c r="M31" s="4">
        <f>SalesData[[#This Row],[Quantity]]*SalesData[[#This Row],[Unit Price]]</f>
        <v>25000</v>
      </c>
      <c r="N31" s="4">
        <f>SalesData[[#This Row],[Sales  Amount]]*SalesData[[#This Row],[Discount %2]]</f>
        <v>500</v>
      </c>
      <c r="O31" s="4">
        <f>SalesData[[#This Row],[Sales  Amount]]-SalesData[[#This Row],[Discount Amount]]</f>
        <v>24500</v>
      </c>
    </row>
    <row r="32" spans="1:15" x14ac:dyDescent="0.25">
      <c r="A32" t="s">
        <v>49</v>
      </c>
      <c r="B32" s="2">
        <v>46273</v>
      </c>
      <c r="C32" t="s">
        <v>28</v>
      </c>
      <c r="D32" t="s">
        <v>19</v>
      </c>
      <c r="E32" t="s">
        <v>41</v>
      </c>
      <c r="F32" t="s">
        <v>26</v>
      </c>
      <c r="G32">
        <v>7</v>
      </c>
      <c r="H32">
        <v>3500</v>
      </c>
      <c r="I32">
        <v>3</v>
      </c>
      <c r="J32" s="3">
        <f t="shared" si="0"/>
        <v>0.03</v>
      </c>
      <c r="K32" t="s">
        <v>37</v>
      </c>
      <c r="L32" t="s">
        <v>33</v>
      </c>
      <c r="M32" s="4">
        <f>SalesData[[#This Row],[Quantity]]*SalesData[[#This Row],[Unit Price]]</f>
        <v>24500</v>
      </c>
      <c r="N32" s="4">
        <f>SalesData[[#This Row],[Sales  Amount]]*SalesData[[#This Row],[Discount %2]]</f>
        <v>735</v>
      </c>
      <c r="O32" s="4">
        <f>SalesData[[#This Row],[Sales  Amount]]-SalesData[[#This Row],[Discount Amount]]</f>
        <v>23765</v>
      </c>
    </row>
    <row r="33" spans="1:15" x14ac:dyDescent="0.25">
      <c r="A33" t="s">
        <v>27</v>
      </c>
      <c r="B33" s="2">
        <v>46267</v>
      </c>
      <c r="C33" t="s">
        <v>28</v>
      </c>
      <c r="D33" t="s">
        <v>29</v>
      </c>
      <c r="E33" t="s">
        <v>30</v>
      </c>
      <c r="F33" t="s">
        <v>31</v>
      </c>
      <c r="G33">
        <v>2</v>
      </c>
      <c r="H33">
        <v>12500</v>
      </c>
      <c r="I33">
        <v>5</v>
      </c>
      <c r="J33" s="3">
        <f t="shared" si="0"/>
        <v>0.05</v>
      </c>
      <c r="K33" t="s">
        <v>32</v>
      </c>
      <c r="L33" t="s">
        <v>33</v>
      </c>
      <c r="M33" s="4">
        <f>SalesData[[#This Row],[Quantity]]*SalesData[[#This Row],[Unit Price]]</f>
        <v>25000</v>
      </c>
      <c r="N33" s="4">
        <f>SalesData[[#This Row],[Sales  Amount]]*SalesData[[#This Row],[Discount %2]]</f>
        <v>1250</v>
      </c>
      <c r="O33" s="4">
        <f>SalesData[[#This Row],[Sales  Amount]]-SalesData[[#This Row],[Discount Amount]]</f>
        <v>23750</v>
      </c>
    </row>
    <row r="34" spans="1:15" x14ac:dyDescent="0.25">
      <c r="A34" t="s">
        <v>50</v>
      </c>
      <c r="B34" s="2">
        <v>46273</v>
      </c>
      <c r="C34" t="s">
        <v>35</v>
      </c>
      <c r="D34" t="s">
        <v>24</v>
      </c>
      <c r="E34" t="s">
        <v>30</v>
      </c>
      <c r="F34" t="s">
        <v>31</v>
      </c>
      <c r="G34">
        <v>2</v>
      </c>
      <c r="H34">
        <v>12500</v>
      </c>
      <c r="I34">
        <v>5</v>
      </c>
      <c r="J34" s="3">
        <f t="shared" ref="J34:J50" si="1">I34/100</f>
        <v>0.05</v>
      </c>
      <c r="K34" t="s">
        <v>39</v>
      </c>
      <c r="L34" t="s">
        <v>16</v>
      </c>
      <c r="M34" s="4">
        <f>SalesData[[#This Row],[Quantity]]*SalesData[[#This Row],[Unit Price]]</f>
        <v>25000</v>
      </c>
      <c r="N34" s="4">
        <f>SalesData[[#This Row],[Sales  Amount]]*SalesData[[#This Row],[Discount %2]]</f>
        <v>1250</v>
      </c>
      <c r="O34" s="4">
        <f>SalesData[[#This Row],[Sales  Amount]]-SalesData[[#This Row],[Discount Amount]]</f>
        <v>23750</v>
      </c>
    </row>
    <row r="35" spans="1:15" x14ac:dyDescent="0.25">
      <c r="A35" t="s">
        <v>59</v>
      </c>
      <c r="B35" s="2">
        <v>46278</v>
      </c>
      <c r="C35" t="s">
        <v>28</v>
      </c>
      <c r="D35" t="s">
        <v>29</v>
      </c>
      <c r="E35" t="s">
        <v>36</v>
      </c>
      <c r="F35" t="s">
        <v>31</v>
      </c>
      <c r="G35">
        <v>20</v>
      </c>
      <c r="H35">
        <v>1200</v>
      </c>
      <c r="I35">
        <v>5</v>
      </c>
      <c r="J35" s="3">
        <f t="shared" si="1"/>
        <v>0.05</v>
      </c>
      <c r="K35" t="s">
        <v>37</v>
      </c>
      <c r="L35" t="s">
        <v>16</v>
      </c>
      <c r="M35" s="4">
        <f>SalesData[[#This Row],[Quantity]]*SalesData[[#This Row],[Unit Price]]</f>
        <v>24000</v>
      </c>
      <c r="N35" s="4">
        <f>SalesData[[#This Row],[Sales  Amount]]*SalesData[[#This Row],[Discount %2]]</f>
        <v>1200</v>
      </c>
      <c r="O35" s="4">
        <f>SalesData[[#This Row],[Sales  Amount]]-SalesData[[#This Row],[Discount Amount]]</f>
        <v>22800</v>
      </c>
    </row>
    <row r="36" spans="1:15" x14ac:dyDescent="0.25">
      <c r="A36" t="s">
        <v>58</v>
      </c>
      <c r="B36" s="2">
        <v>46277</v>
      </c>
      <c r="C36" t="s">
        <v>23</v>
      </c>
      <c r="D36" t="s">
        <v>24</v>
      </c>
      <c r="E36" t="s">
        <v>25</v>
      </c>
      <c r="F36" t="s">
        <v>14</v>
      </c>
      <c r="G36">
        <v>9</v>
      </c>
      <c r="H36">
        <v>2500</v>
      </c>
      <c r="I36">
        <v>3</v>
      </c>
      <c r="J36" s="3">
        <f t="shared" si="1"/>
        <v>0.03</v>
      </c>
      <c r="K36" t="s">
        <v>21</v>
      </c>
      <c r="L36" t="s">
        <v>16</v>
      </c>
      <c r="M36" s="4">
        <f>SalesData[[#This Row],[Quantity]]*SalesData[[#This Row],[Unit Price]]</f>
        <v>22500</v>
      </c>
      <c r="N36" s="4">
        <f>SalesData[[#This Row],[Sales  Amount]]*SalesData[[#This Row],[Discount %2]]</f>
        <v>675</v>
      </c>
      <c r="O36" s="4">
        <f>SalesData[[#This Row],[Sales  Amount]]-SalesData[[#This Row],[Discount Amount]]</f>
        <v>21825</v>
      </c>
    </row>
    <row r="37" spans="1:15" x14ac:dyDescent="0.25">
      <c r="A37" t="s">
        <v>69</v>
      </c>
      <c r="B37" s="2">
        <v>46313</v>
      </c>
      <c r="C37" t="s">
        <v>28</v>
      </c>
      <c r="D37" t="s">
        <v>19</v>
      </c>
      <c r="E37" t="s">
        <v>25</v>
      </c>
      <c r="F37" t="s">
        <v>14</v>
      </c>
      <c r="G37">
        <v>9</v>
      </c>
      <c r="H37">
        <v>2500</v>
      </c>
      <c r="I37">
        <v>5</v>
      </c>
      <c r="J37" s="3">
        <f t="shared" si="1"/>
        <v>0.05</v>
      </c>
      <c r="K37" t="s">
        <v>32</v>
      </c>
      <c r="L37" t="s">
        <v>16</v>
      </c>
      <c r="M37" s="4">
        <f>SalesData[[#This Row],[Quantity]]*SalesData[[#This Row],[Unit Price]]</f>
        <v>22500</v>
      </c>
      <c r="N37" s="4">
        <f>SalesData[[#This Row],[Sales  Amount]]*SalesData[[#This Row],[Discount %2]]</f>
        <v>1125</v>
      </c>
      <c r="O37" s="4">
        <f>SalesData[[#This Row],[Sales  Amount]]-SalesData[[#This Row],[Discount Amount]]</f>
        <v>21375</v>
      </c>
    </row>
    <row r="38" spans="1:15" x14ac:dyDescent="0.25">
      <c r="A38" t="s">
        <v>65</v>
      </c>
      <c r="B38" s="2">
        <v>46281</v>
      </c>
      <c r="C38" t="s">
        <v>35</v>
      </c>
      <c r="D38" t="s">
        <v>19</v>
      </c>
      <c r="E38" t="s">
        <v>36</v>
      </c>
      <c r="F38" t="s">
        <v>26</v>
      </c>
      <c r="G38">
        <v>18</v>
      </c>
      <c r="H38">
        <v>1200</v>
      </c>
      <c r="I38">
        <v>4</v>
      </c>
      <c r="J38" s="3">
        <f t="shared" si="1"/>
        <v>0.04</v>
      </c>
      <c r="K38" t="s">
        <v>15</v>
      </c>
      <c r="L38" t="s">
        <v>16</v>
      </c>
      <c r="M38" s="4">
        <f>SalesData[[#This Row],[Quantity]]*SalesData[[#This Row],[Unit Price]]</f>
        <v>21600</v>
      </c>
      <c r="N38" s="4">
        <f>SalesData[[#This Row],[Sales  Amount]]*SalesData[[#This Row],[Discount %2]]</f>
        <v>864</v>
      </c>
      <c r="O38" s="4">
        <f>SalesData[[#This Row],[Sales  Amount]]-SalesData[[#This Row],[Discount Amount]]</f>
        <v>20736</v>
      </c>
    </row>
    <row r="39" spans="1:15" x14ac:dyDescent="0.25">
      <c r="A39" t="s">
        <v>40</v>
      </c>
      <c r="B39" s="2">
        <v>46269</v>
      </c>
      <c r="C39" t="s">
        <v>18</v>
      </c>
      <c r="D39" t="s">
        <v>24</v>
      </c>
      <c r="E39" t="s">
        <v>41</v>
      </c>
      <c r="F39" t="s">
        <v>26</v>
      </c>
      <c r="G39">
        <v>6</v>
      </c>
      <c r="H39">
        <v>3500</v>
      </c>
      <c r="I39">
        <v>5</v>
      </c>
      <c r="J39" s="3">
        <f t="shared" si="1"/>
        <v>0.05</v>
      </c>
      <c r="K39" t="s">
        <v>15</v>
      </c>
      <c r="L39" t="s">
        <v>42</v>
      </c>
      <c r="M39" s="4">
        <f>SalesData[[#This Row],[Quantity]]*SalesData[[#This Row],[Unit Price]]</f>
        <v>21000</v>
      </c>
      <c r="N39" s="4">
        <f>SalesData[[#This Row],[Sales  Amount]]*SalesData[[#This Row],[Discount %2]]</f>
        <v>1050</v>
      </c>
      <c r="O39" s="4">
        <f>SalesData[[#This Row],[Sales  Amount]]-SalesData[[#This Row],[Discount Amount]]</f>
        <v>19950</v>
      </c>
    </row>
    <row r="40" spans="1:15" x14ac:dyDescent="0.25">
      <c r="A40" t="s">
        <v>85</v>
      </c>
      <c r="B40" s="2">
        <v>46320</v>
      </c>
      <c r="C40" t="s">
        <v>23</v>
      </c>
      <c r="D40" t="s">
        <v>29</v>
      </c>
      <c r="E40" t="s">
        <v>36</v>
      </c>
      <c r="F40" t="s">
        <v>26</v>
      </c>
      <c r="G40">
        <v>16</v>
      </c>
      <c r="H40">
        <v>1200</v>
      </c>
      <c r="I40">
        <v>2</v>
      </c>
      <c r="J40" s="3">
        <f t="shared" si="1"/>
        <v>0.02</v>
      </c>
      <c r="K40" t="s">
        <v>21</v>
      </c>
      <c r="L40" t="s">
        <v>16</v>
      </c>
      <c r="M40" s="4">
        <f>SalesData[[#This Row],[Quantity]]*SalesData[[#This Row],[Unit Price]]</f>
        <v>19200</v>
      </c>
      <c r="N40" s="4">
        <f>SalesData[[#This Row],[Sales  Amount]]*SalesData[[#This Row],[Discount %2]]</f>
        <v>384</v>
      </c>
      <c r="O40" s="4">
        <f>SalesData[[#This Row],[Sales  Amount]]-SalesData[[#This Row],[Discount Amount]]</f>
        <v>18816</v>
      </c>
    </row>
    <row r="41" spans="1:15" x14ac:dyDescent="0.25">
      <c r="A41" t="s">
        <v>53</v>
      </c>
      <c r="B41" s="2">
        <v>46275</v>
      </c>
      <c r="C41" t="s">
        <v>23</v>
      </c>
      <c r="D41" t="s">
        <v>19</v>
      </c>
      <c r="E41" t="s">
        <v>36</v>
      </c>
      <c r="F41" t="s">
        <v>26</v>
      </c>
      <c r="G41">
        <v>15</v>
      </c>
      <c r="H41">
        <v>1200</v>
      </c>
      <c r="I41">
        <v>0</v>
      </c>
      <c r="J41" s="3">
        <f t="shared" si="1"/>
        <v>0</v>
      </c>
      <c r="K41" t="s">
        <v>37</v>
      </c>
      <c r="L41" t="s">
        <v>16</v>
      </c>
      <c r="M41" s="4">
        <f>SalesData[[#This Row],[Quantity]]*SalesData[[#This Row],[Unit Price]]</f>
        <v>18000</v>
      </c>
      <c r="N41" s="4">
        <f>SalesData[[#This Row],[Sales  Amount]]*SalesData[[#This Row],[Discount %2]]</f>
        <v>0</v>
      </c>
      <c r="O41" s="4">
        <f>SalesData[[#This Row],[Sales  Amount]]-SalesData[[#This Row],[Discount Amount]]</f>
        <v>18000</v>
      </c>
    </row>
    <row r="42" spans="1:15" x14ac:dyDescent="0.25">
      <c r="A42" t="s">
        <v>74</v>
      </c>
      <c r="B42" s="2">
        <v>46316</v>
      </c>
      <c r="C42" t="s">
        <v>28</v>
      </c>
      <c r="D42" t="s">
        <v>24</v>
      </c>
      <c r="E42" t="s">
        <v>20</v>
      </c>
      <c r="F42" t="s">
        <v>14</v>
      </c>
      <c r="G42">
        <v>1</v>
      </c>
      <c r="H42">
        <v>18000</v>
      </c>
      <c r="I42">
        <v>5</v>
      </c>
      <c r="J42" s="3">
        <f t="shared" si="1"/>
        <v>0.05</v>
      </c>
      <c r="K42" t="s">
        <v>15</v>
      </c>
      <c r="L42" t="s">
        <v>16</v>
      </c>
      <c r="M42" s="4">
        <f>SalesData[[#This Row],[Quantity]]*SalesData[[#This Row],[Unit Price]]</f>
        <v>18000</v>
      </c>
      <c r="N42" s="4">
        <f>SalesData[[#This Row],[Sales  Amount]]*SalesData[[#This Row],[Discount %2]]</f>
        <v>900</v>
      </c>
      <c r="O42" s="4">
        <f>SalesData[[#This Row],[Sales  Amount]]-SalesData[[#This Row],[Discount Amount]]</f>
        <v>17100</v>
      </c>
    </row>
    <row r="43" spans="1:15" x14ac:dyDescent="0.25">
      <c r="A43" t="s">
        <v>52</v>
      </c>
      <c r="B43" s="2">
        <v>46274</v>
      </c>
      <c r="C43" t="s">
        <v>18</v>
      </c>
      <c r="D43" t="s">
        <v>12</v>
      </c>
      <c r="E43" t="s">
        <v>25</v>
      </c>
      <c r="F43" t="s">
        <v>26</v>
      </c>
      <c r="G43">
        <v>6</v>
      </c>
      <c r="H43">
        <v>2500</v>
      </c>
      <c r="I43">
        <v>2</v>
      </c>
      <c r="J43" s="3">
        <f t="shared" si="1"/>
        <v>0.02</v>
      </c>
      <c r="K43" t="s">
        <v>15</v>
      </c>
      <c r="L43" t="s">
        <v>42</v>
      </c>
      <c r="M43" s="4">
        <f>SalesData[[#This Row],[Quantity]]*SalesData[[#This Row],[Unit Price]]</f>
        <v>15000</v>
      </c>
      <c r="N43" s="4">
        <f>SalesData[[#This Row],[Sales  Amount]]*SalesData[[#This Row],[Discount %2]]</f>
        <v>300</v>
      </c>
      <c r="O43" s="4">
        <f>SalesData[[#This Row],[Sales  Amount]]-SalesData[[#This Row],[Discount Amount]]</f>
        <v>14700</v>
      </c>
    </row>
    <row r="44" spans="1:15" x14ac:dyDescent="0.25">
      <c r="A44" t="s">
        <v>82</v>
      </c>
      <c r="B44" s="2">
        <v>46319</v>
      </c>
      <c r="C44" t="s">
        <v>11</v>
      </c>
      <c r="D44" t="s">
        <v>19</v>
      </c>
      <c r="E44" t="s">
        <v>25</v>
      </c>
      <c r="F44" t="s">
        <v>26</v>
      </c>
      <c r="G44">
        <v>6</v>
      </c>
      <c r="H44">
        <v>2500</v>
      </c>
      <c r="I44">
        <v>5</v>
      </c>
      <c r="J44" s="3">
        <f t="shared" si="1"/>
        <v>0.05</v>
      </c>
      <c r="K44" t="s">
        <v>37</v>
      </c>
      <c r="L44" t="s">
        <v>42</v>
      </c>
      <c r="M44" s="4">
        <f>SalesData[[#This Row],[Quantity]]*SalesData[[#This Row],[Unit Price]]</f>
        <v>15000</v>
      </c>
      <c r="N44" s="4">
        <f>SalesData[[#This Row],[Sales  Amount]]*SalesData[[#This Row],[Discount %2]]</f>
        <v>750</v>
      </c>
      <c r="O44" s="4">
        <f>SalesData[[#This Row],[Sales  Amount]]-SalesData[[#This Row],[Discount Amount]]</f>
        <v>14250</v>
      </c>
    </row>
    <row r="45" spans="1:15" x14ac:dyDescent="0.25">
      <c r="A45" t="s">
        <v>47</v>
      </c>
      <c r="B45" s="2">
        <v>46272</v>
      </c>
      <c r="C45" t="s">
        <v>18</v>
      </c>
      <c r="D45" t="s">
        <v>29</v>
      </c>
      <c r="E45" t="s">
        <v>36</v>
      </c>
      <c r="F45" t="s">
        <v>26</v>
      </c>
      <c r="G45">
        <v>12</v>
      </c>
      <c r="H45">
        <v>1200</v>
      </c>
      <c r="I45">
        <v>5</v>
      </c>
      <c r="J45" s="3">
        <f t="shared" si="1"/>
        <v>0.05</v>
      </c>
      <c r="K45" t="s">
        <v>15</v>
      </c>
      <c r="L45" t="s">
        <v>16</v>
      </c>
      <c r="M45" s="4">
        <f>SalesData[[#This Row],[Quantity]]*SalesData[[#This Row],[Unit Price]]</f>
        <v>14400</v>
      </c>
      <c r="N45" s="4">
        <f>SalesData[[#This Row],[Sales  Amount]]*SalesData[[#This Row],[Discount %2]]</f>
        <v>720</v>
      </c>
      <c r="O45" s="4">
        <f>SalesData[[#This Row],[Sales  Amount]]-SalesData[[#This Row],[Discount Amount]]</f>
        <v>13680</v>
      </c>
    </row>
    <row r="46" spans="1:15" x14ac:dyDescent="0.25">
      <c r="A46" t="s">
        <v>22</v>
      </c>
      <c r="B46" s="2">
        <v>46267</v>
      </c>
      <c r="C46" t="s">
        <v>23</v>
      </c>
      <c r="D46" t="s">
        <v>24</v>
      </c>
      <c r="E46" t="s">
        <v>25</v>
      </c>
      <c r="F46" t="s">
        <v>26</v>
      </c>
      <c r="G46">
        <v>5</v>
      </c>
      <c r="H46">
        <v>2500</v>
      </c>
      <c r="I46">
        <v>2</v>
      </c>
      <c r="J46" s="3">
        <f t="shared" si="1"/>
        <v>0.02</v>
      </c>
      <c r="K46" t="s">
        <v>15</v>
      </c>
      <c r="L46" t="s">
        <v>16</v>
      </c>
      <c r="M46" s="4">
        <f>SalesData[[#This Row],[Quantity]]*SalesData[[#This Row],[Unit Price]]</f>
        <v>12500</v>
      </c>
      <c r="N46" s="4">
        <f>SalesData[[#This Row],[Sales  Amount]]*SalesData[[#This Row],[Discount %2]]</f>
        <v>250</v>
      </c>
      <c r="O46" s="4">
        <f>SalesData[[#This Row],[Sales  Amount]]-SalesData[[#This Row],[Discount Amount]]</f>
        <v>12250</v>
      </c>
    </row>
    <row r="47" spans="1:15" x14ac:dyDescent="0.25">
      <c r="A47" t="s">
        <v>34</v>
      </c>
      <c r="B47" s="2">
        <v>46268</v>
      </c>
      <c r="C47" t="s">
        <v>35</v>
      </c>
      <c r="D47" t="s">
        <v>12</v>
      </c>
      <c r="E47" t="s">
        <v>36</v>
      </c>
      <c r="F47" t="s">
        <v>26</v>
      </c>
      <c r="G47">
        <v>8</v>
      </c>
      <c r="H47">
        <v>1200</v>
      </c>
      <c r="I47">
        <v>0</v>
      </c>
      <c r="J47" s="3">
        <f t="shared" si="1"/>
        <v>0</v>
      </c>
      <c r="K47" t="s">
        <v>37</v>
      </c>
      <c r="L47" t="s">
        <v>16</v>
      </c>
      <c r="M47" s="4">
        <f>SalesData[[#This Row],[Quantity]]*SalesData[[#This Row],[Unit Price]]</f>
        <v>9600</v>
      </c>
      <c r="N47" s="4">
        <f>SalesData[[#This Row],[Sales  Amount]]*SalesData[[#This Row],[Discount %2]]</f>
        <v>0</v>
      </c>
      <c r="O47" s="4">
        <f>SalesData[[#This Row],[Sales  Amount]]-SalesData[[#This Row],[Discount Amount]]</f>
        <v>9600</v>
      </c>
    </row>
    <row r="48" spans="1:15" x14ac:dyDescent="0.25">
      <c r="A48" t="s">
        <v>68</v>
      </c>
      <c r="B48" s="2">
        <v>46313</v>
      </c>
      <c r="C48" t="s">
        <v>23</v>
      </c>
      <c r="D48" t="s">
        <v>12</v>
      </c>
      <c r="E48" t="s">
        <v>41</v>
      </c>
      <c r="F48" t="s">
        <v>31</v>
      </c>
      <c r="G48">
        <v>2</v>
      </c>
      <c r="H48">
        <v>3500</v>
      </c>
      <c r="I48">
        <v>7</v>
      </c>
      <c r="J48" s="3">
        <f t="shared" si="1"/>
        <v>7.0000000000000007E-2</v>
      </c>
      <c r="K48" t="s">
        <v>15</v>
      </c>
      <c r="L48" t="s">
        <v>42</v>
      </c>
      <c r="M48" s="4">
        <f>SalesData[[#This Row],[Quantity]]*SalesData[[#This Row],[Unit Price]]</f>
        <v>7000</v>
      </c>
      <c r="N48" s="4">
        <f>SalesData[[#This Row],[Sales  Amount]]*SalesData[[#This Row],[Discount %2]]</f>
        <v>490.00000000000006</v>
      </c>
      <c r="O48" s="4">
        <f>SalesData[[#This Row],[Sales  Amount]]-SalesData[[#This Row],[Discount Amount]]</f>
        <v>6510</v>
      </c>
    </row>
    <row r="49" spans="1:15" x14ac:dyDescent="0.25">
      <c r="A49" t="s">
        <v>72</v>
      </c>
      <c r="B49" s="2">
        <v>46315</v>
      </c>
      <c r="C49" t="s">
        <v>18</v>
      </c>
      <c r="D49" t="s">
        <v>12</v>
      </c>
      <c r="E49" t="s">
        <v>25</v>
      </c>
      <c r="F49" t="s">
        <v>26</v>
      </c>
      <c r="G49">
        <v>2</v>
      </c>
      <c r="H49">
        <v>2500</v>
      </c>
      <c r="I49">
        <v>4</v>
      </c>
      <c r="J49" s="3">
        <f t="shared" si="1"/>
        <v>0.04</v>
      </c>
      <c r="K49" t="s">
        <v>21</v>
      </c>
      <c r="L49" t="s">
        <v>16</v>
      </c>
      <c r="M49" s="4">
        <f>SalesData[[#This Row],[Quantity]]*SalesData[[#This Row],[Unit Price]]</f>
        <v>5000</v>
      </c>
      <c r="N49" s="4">
        <f>SalesData[[#This Row],[Sales  Amount]]*SalesData[[#This Row],[Discount %2]]</f>
        <v>200</v>
      </c>
      <c r="O49" s="4">
        <f>SalesData[[#This Row],[Sales  Amount]]-SalesData[[#This Row],[Discount Amount]]</f>
        <v>4800</v>
      </c>
    </row>
    <row r="50" spans="1:15" x14ac:dyDescent="0.25">
      <c r="A50" t="s">
        <v>79</v>
      </c>
      <c r="B50" s="2">
        <v>46318</v>
      </c>
      <c r="C50" t="s">
        <v>23</v>
      </c>
      <c r="D50" t="s">
        <v>24</v>
      </c>
      <c r="E50" t="s">
        <v>36</v>
      </c>
      <c r="F50" t="s">
        <v>31</v>
      </c>
      <c r="G50">
        <v>4</v>
      </c>
      <c r="H50">
        <v>1200</v>
      </c>
      <c r="I50">
        <v>5</v>
      </c>
      <c r="J50" s="3">
        <f t="shared" si="1"/>
        <v>0.05</v>
      </c>
      <c r="K50" t="s">
        <v>21</v>
      </c>
      <c r="L50" t="s">
        <v>33</v>
      </c>
      <c r="M50" s="4">
        <f>SalesData[[#This Row],[Quantity]]*SalesData[[#This Row],[Unit Price]]</f>
        <v>4800</v>
      </c>
      <c r="N50" s="4">
        <f>SalesData[[#This Row],[Sales  Amount]]*SalesData[[#This Row],[Discount %2]]</f>
        <v>240</v>
      </c>
      <c r="O50" s="4">
        <f>SalesData[[#This Row],[Sales  Amount]]-SalesData[[#This Row],[Discount Amount]]</f>
        <v>4560</v>
      </c>
    </row>
  </sheetData>
  <conditionalFormatting sqref="G2:G5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{06C68911-BEFD-4DBE-A6CA-67B44146BA93}</x14:id>
        </ext>
      </extLst>
    </cfRule>
  </conditionalFormatting>
  <conditionalFormatting sqref="L2:L50">
    <cfRule type="containsText" dxfId="2" priority="2" operator="containsText" text="Pending">
      <formula>NOT(ISERROR(SEARCH("Pending",L2)))</formula>
    </cfRule>
    <cfRule type="containsText" dxfId="1" priority="3" operator="containsText" text="Cancelled">
      <formula>NOT(ISERROR(SEARCH("Cancelled",L2)))</formula>
    </cfRule>
  </conditionalFormatting>
  <conditionalFormatting sqref="O2:O50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cellIs" dxfId="0" priority="5" operator="greaterThan">
      <formula>50000</formula>
    </cfRule>
  </conditionalFormatting>
  <dataValidations count="1">
    <dataValidation type="list" allowBlank="1" showInputMessage="1" showErrorMessage="1" error="Invalid Status" prompt="Select the current order status" sqref="L2:L50" xr:uid="{412AB0CD-D297-4297-9931-65228C89AAC4}">
      <formula1>"Completed,Pending,Cancelled"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C68911-BEFD-4DBE-A6CA-67B44146BA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G2:G50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DBCB-90D7-4ABD-9334-38FEB1F507EB}">
  <dimension ref="A1:L51"/>
  <sheetViews>
    <sheetView zoomScale="84" zoomScaleNormal="84" workbookViewId="0">
      <selection activeCell="D51" sqref="D51"/>
    </sheetView>
  </sheetViews>
  <sheetFormatPr defaultRowHeight="15" x14ac:dyDescent="0.25"/>
  <cols>
    <col min="1" max="1" width="26.85546875" bestFit="1" customWidth="1"/>
    <col min="2" max="2" width="19.7109375" bestFit="1" customWidth="1"/>
    <col min="3" max="3" width="16.28515625" bestFit="1" customWidth="1"/>
    <col min="4" max="4" width="17.140625" bestFit="1" customWidth="1"/>
  </cols>
  <sheetData>
    <row r="1" spans="1:4" ht="28.5" x14ac:dyDescent="0.45">
      <c r="A1" s="18" t="s">
        <v>92</v>
      </c>
      <c r="B1" s="18"/>
      <c r="C1" s="18"/>
      <c r="D1" s="14"/>
    </row>
    <row r="2" spans="1:4" x14ac:dyDescent="0.25">
      <c r="A2" s="12" t="s">
        <v>93</v>
      </c>
      <c r="B2" s="12" t="s">
        <v>100</v>
      </c>
    </row>
    <row r="3" spans="1:4" x14ac:dyDescent="0.25">
      <c r="A3" t="s">
        <v>94</v>
      </c>
      <c r="B3">
        <f>COUNTA(SalesData[Order Id])</f>
        <v>49</v>
      </c>
    </row>
    <row r="4" spans="1:4" x14ac:dyDescent="0.25">
      <c r="A4" t="s">
        <v>95</v>
      </c>
      <c r="B4">
        <f>SUM(SalesData[Quantity])</f>
        <v>336</v>
      </c>
    </row>
    <row r="5" spans="1:4" x14ac:dyDescent="0.25">
      <c r="A5" t="s">
        <v>96</v>
      </c>
      <c r="B5" s="4">
        <f>SUM(SalesData[Sales  Amount])</f>
        <v>3979600</v>
      </c>
    </row>
    <row r="6" spans="1:4" x14ac:dyDescent="0.25">
      <c r="A6" t="s">
        <v>97</v>
      </c>
      <c r="B6" s="4">
        <f>SUM(SalesData[Discount Amount])</f>
        <v>154368</v>
      </c>
    </row>
    <row r="7" spans="1:4" x14ac:dyDescent="0.25">
      <c r="A7" t="s">
        <v>98</v>
      </c>
      <c r="B7" s="4">
        <f>SUM(SalesData[Net Sales])</f>
        <v>3825232</v>
      </c>
    </row>
    <row r="8" spans="1:4" x14ac:dyDescent="0.25">
      <c r="A8" t="s">
        <v>99</v>
      </c>
      <c r="B8" s="4">
        <f>AVERAGE(SalesData[Net Sales])</f>
        <v>78065.959183673476</v>
      </c>
    </row>
    <row r="10" spans="1:4" x14ac:dyDescent="0.25">
      <c r="A10" s="17" t="s">
        <v>101</v>
      </c>
      <c r="B10" s="17"/>
      <c r="C10" s="17"/>
      <c r="D10" s="12"/>
    </row>
    <row r="11" spans="1:4" x14ac:dyDescent="0.25">
      <c r="A11" s="12" t="s">
        <v>2</v>
      </c>
      <c r="B11" s="12" t="s">
        <v>94</v>
      </c>
      <c r="C11" s="12" t="s">
        <v>98</v>
      </c>
    </row>
    <row r="12" spans="1:4" x14ac:dyDescent="0.25">
      <c r="A12" t="s">
        <v>11</v>
      </c>
      <c r="B12">
        <f>COUNTIF(SalesData[Salesperson],Sales_Data!C5)</f>
        <v>10</v>
      </c>
      <c r="C12" s="4">
        <f>SUMIF(SalesData[Salesperson],Sales_Data!C5,SalesData[Net Sales])</f>
        <v>638490</v>
      </c>
    </row>
    <row r="13" spans="1:4" x14ac:dyDescent="0.25">
      <c r="A13" t="s">
        <v>102</v>
      </c>
      <c r="B13">
        <f>COUNTIF(SalesData[Salesperson],Sales_Data!C7)</f>
        <v>10</v>
      </c>
      <c r="C13" s="4">
        <f>SUMIF(SalesData[Salesperson],Sales_Data!C7,SalesData[Net Sales])</f>
        <v>906435</v>
      </c>
    </row>
    <row r="14" spans="1:4" x14ac:dyDescent="0.25">
      <c r="A14" t="s">
        <v>23</v>
      </c>
      <c r="B14">
        <f>COUNTIF(SalesData[Salesperson],Sales_Data!C11)</f>
        <v>10</v>
      </c>
      <c r="C14" s="4">
        <f>SUMIF(SalesData[Salesperson],Sales_Data!C11,SalesData[Net Sales])</f>
        <v>295581</v>
      </c>
    </row>
    <row r="15" spans="1:4" x14ac:dyDescent="0.25">
      <c r="A15" t="s">
        <v>28</v>
      </c>
      <c r="B15">
        <f>COUNTIF(SalesData[Salesperson],Sales_Data!C16)</f>
        <v>10</v>
      </c>
      <c r="C15" s="4">
        <f>SUMIF(SalesData[Salesperson],Sales_Data!C16,SalesData[Net Sales])</f>
        <v>312985</v>
      </c>
    </row>
    <row r="16" spans="1:4" x14ac:dyDescent="0.25">
      <c r="A16" t="s">
        <v>35</v>
      </c>
      <c r="B16">
        <f>COUNTIF(SalesData[Salesperson],Sales_Data!C10)</f>
        <v>9</v>
      </c>
      <c r="C16" s="4">
        <f>SUMIF(SalesData[Salesperson],Sales_Data!C10,SalesData[Net Sales])</f>
        <v>1671741</v>
      </c>
    </row>
    <row r="17" spans="1:5" x14ac:dyDescent="0.25">
      <c r="D17" s="4"/>
    </row>
    <row r="18" spans="1:5" x14ac:dyDescent="0.25">
      <c r="D18" s="4"/>
    </row>
    <row r="20" spans="1:5" x14ac:dyDescent="0.25">
      <c r="A20" s="17" t="s">
        <v>103</v>
      </c>
      <c r="B20" s="17"/>
      <c r="C20" s="17"/>
      <c r="D20" s="12"/>
    </row>
    <row r="21" spans="1:5" x14ac:dyDescent="0.25">
      <c r="A21" s="12" t="s">
        <v>4</v>
      </c>
      <c r="B21" s="13" t="s">
        <v>104</v>
      </c>
      <c r="C21" s="13" t="s">
        <v>105</v>
      </c>
      <c r="D21" s="5"/>
    </row>
    <row r="22" spans="1:5" x14ac:dyDescent="0.25">
      <c r="A22" t="s">
        <v>13</v>
      </c>
      <c r="B22">
        <f>SUMIF(SalesData[Product],Sales_Data!E2,SalesData[Quantity])</f>
        <v>49</v>
      </c>
      <c r="C22">
        <f>SUMIF(SalesData[Product],Sales_Data!E2,SalesData[Net Sales])</f>
        <v>2593250</v>
      </c>
    </row>
    <row r="23" spans="1:5" x14ac:dyDescent="0.25">
      <c r="A23" t="s">
        <v>20</v>
      </c>
      <c r="B23">
        <f>SUMIF(SalesData[Product],Sales_Data!E10,SalesData[Quantity])</f>
        <v>24</v>
      </c>
      <c r="C23">
        <f>SUMIF(SalesData[Product],Sales_Data!E10,SalesData[Net Sales])</f>
        <v>411300</v>
      </c>
      <c r="D23" s="4"/>
    </row>
    <row r="24" spans="1:5" x14ac:dyDescent="0.25">
      <c r="A24" t="s">
        <v>25</v>
      </c>
      <c r="B24">
        <f>SUMIF(SalesData[Product],Sales_Data!E19,SalesData[Quantity])</f>
        <v>79</v>
      </c>
      <c r="C24">
        <f>SUMIF(SalesData[Product],Sales_Data!E19,SalesData[Net Sales])</f>
        <v>189100</v>
      </c>
      <c r="D24" s="4"/>
    </row>
    <row r="25" spans="1:5" x14ac:dyDescent="0.25">
      <c r="A25" t="s">
        <v>36</v>
      </c>
      <c r="B25">
        <f>SUMIF(SalesData[Product],Sales_Data!E35,SalesData[Quantity])</f>
        <v>93</v>
      </c>
      <c r="C25">
        <f>SUMIF(SalesData[Product],Sales_Data!E35,SalesData[Net Sales])</f>
        <v>108192</v>
      </c>
      <c r="D25" s="4"/>
    </row>
    <row r="26" spans="1:5" x14ac:dyDescent="0.25">
      <c r="A26" t="s">
        <v>41</v>
      </c>
      <c r="B26">
        <f>SUMIF(SalesData[Product],Sales_Data!E9,SalesData[Quantity])</f>
        <v>66</v>
      </c>
      <c r="C26">
        <f>SUMIF(SalesData[Product],Sales_Data!E9,SalesData[Net Sales])</f>
        <v>225015</v>
      </c>
      <c r="D26" s="4"/>
    </row>
    <row r="27" spans="1:5" x14ac:dyDescent="0.25">
      <c r="E27" s="4"/>
    </row>
    <row r="28" spans="1:5" x14ac:dyDescent="0.25">
      <c r="A28" s="17" t="s">
        <v>114</v>
      </c>
      <c r="B28" s="17"/>
      <c r="C28" s="17"/>
      <c r="D28" s="12"/>
    </row>
    <row r="29" spans="1:5" x14ac:dyDescent="0.25">
      <c r="A29" s="12" t="s">
        <v>3</v>
      </c>
      <c r="B29" s="12" t="s">
        <v>94</v>
      </c>
      <c r="C29" s="12" t="s">
        <v>98</v>
      </c>
    </row>
    <row r="30" spans="1:5" x14ac:dyDescent="0.25">
      <c r="A30" t="s">
        <v>19</v>
      </c>
      <c r="B30">
        <f>COUNTIF(SalesData[Region],Sales_Data!D7)</f>
        <v>12</v>
      </c>
      <c r="C30" s="4">
        <f>SUMIF(SalesData[Region],Sales_Data!D7,SalesData[Net Sales])</f>
        <v>473056</v>
      </c>
    </row>
    <row r="31" spans="1:5" x14ac:dyDescent="0.25">
      <c r="A31" t="s">
        <v>12</v>
      </c>
      <c r="B31">
        <f>COUNTIF(SalesData[Region],Sales_Data!D6)</f>
        <v>13</v>
      </c>
      <c r="C31" s="4">
        <f>SUMIF(SalesData[Region],Sales_Data!D6,SalesData[Net Sales])</f>
        <v>450380</v>
      </c>
    </row>
    <row r="32" spans="1:5" x14ac:dyDescent="0.25">
      <c r="A32" t="s">
        <v>24</v>
      </c>
      <c r="B32">
        <f>COUNTIF(SalesData[Region],Sales_Data!D2)</f>
        <v>12</v>
      </c>
      <c r="C32" s="4">
        <f>SUMIF(SalesData[Region],Sales_Data!D2,SalesData[Net Sales])</f>
        <v>1710885</v>
      </c>
    </row>
    <row r="33" spans="1:4" x14ac:dyDescent="0.25">
      <c r="A33" t="s">
        <v>29</v>
      </c>
      <c r="B33">
        <f>COUNTIF(SalesData[Region],Sales_Data!D3)</f>
        <v>12</v>
      </c>
      <c r="C33" s="4">
        <f>SUMIF(SalesData[Region],Sales_Data!D3,SalesData[Net Sales])</f>
        <v>1190911</v>
      </c>
    </row>
    <row r="35" spans="1:4" x14ac:dyDescent="0.25">
      <c r="A35" s="17" t="s">
        <v>112</v>
      </c>
      <c r="B35" s="17"/>
      <c r="C35" s="17"/>
      <c r="D35" s="12"/>
    </row>
    <row r="36" spans="1:4" x14ac:dyDescent="0.25">
      <c r="A36" s="12" t="s">
        <v>9</v>
      </c>
      <c r="B36" s="12" t="s">
        <v>113</v>
      </c>
      <c r="C36" s="12" t="s">
        <v>115</v>
      </c>
    </row>
    <row r="37" spans="1:4" x14ac:dyDescent="0.25">
      <c r="A37" t="s">
        <v>16</v>
      </c>
      <c r="B37">
        <f>COUNTIF(SalesData[Order Status],Sales_Data!L2)</f>
        <v>34</v>
      </c>
      <c r="C37" s="3">
        <f>B37/$B$3</f>
        <v>0.69387755102040816</v>
      </c>
    </row>
    <row r="38" spans="1:4" x14ac:dyDescent="0.25">
      <c r="A38" t="s">
        <v>33</v>
      </c>
      <c r="B38">
        <f>COUNTIF(SalesData[Order Status],Sales_Data!L4)</f>
        <v>7</v>
      </c>
      <c r="C38" s="3">
        <f t="shared" ref="C38:C39" si="0">B38/$B$3</f>
        <v>0.14285714285714285</v>
      </c>
    </row>
    <row r="39" spans="1:4" x14ac:dyDescent="0.25">
      <c r="A39" t="s">
        <v>42</v>
      </c>
      <c r="B39">
        <f>COUNTIF(SalesData[Order Status],Sales_Data!L8)</f>
        <v>8</v>
      </c>
      <c r="C39" s="3">
        <f t="shared" si="0"/>
        <v>0.16326530612244897</v>
      </c>
    </row>
    <row r="40" spans="1:4" x14ac:dyDescent="0.25">
      <c r="C40" s="3"/>
    </row>
    <row r="42" spans="1:4" x14ac:dyDescent="0.25">
      <c r="A42" s="12" t="s">
        <v>106</v>
      </c>
      <c r="B42" s="12" t="s">
        <v>107</v>
      </c>
    </row>
    <row r="43" spans="1:4" x14ac:dyDescent="0.25">
      <c r="A43" t="s">
        <v>123</v>
      </c>
      <c r="B43" s="16" t="str">
        <f>INDEX(A12:A16,MATCH(MAX(C12:C16),C12:C16,0))</f>
        <v>Kiran</v>
      </c>
    </row>
    <row r="44" spans="1:4" x14ac:dyDescent="0.25">
      <c r="A44" t="s">
        <v>108</v>
      </c>
      <c r="B44" s="16" t="str">
        <f>INDEX(A12:A16,MATCH(MIN(C12:C16),C12:C16,0))</f>
        <v>Amit</v>
      </c>
    </row>
    <row r="45" spans="1:4" x14ac:dyDescent="0.25">
      <c r="A45" t="s">
        <v>124</v>
      </c>
      <c r="B45" s="16" t="str">
        <f>INDEX(A30:A33,MATCH(MAX(C30:C33),C30:C33,0))</f>
        <v>East</v>
      </c>
    </row>
    <row r="46" spans="1:4" x14ac:dyDescent="0.25">
      <c r="A46" t="s">
        <v>109</v>
      </c>
      <c r="B46" s="16" t="str">
        <f>INDEX(A30:A33,MATCH(MIN(C30:C33),C30:C33,0))</f>
        <v>South</v>
      </c>
    </row>
    <row r="47" spans="1:4" x14ac:dyDescent="0.25">
      <c r="A47" t="s">
        <v>110</v>
      </c>
      <c r="B47" s="16" t="str">
        <f>INDEX(A22:A26,MATCH(MAX(B22:B26),B22:B26,0))</f>
        <v>Mouse</v>
      </c>
    </row>
    <row r="48" spans="1:4" x14ac:dyDescent="0.25">
      <c r="A48" t="s">
        <v>111</v>
      </c>
      <c r="B48" s="16" t="str">
        <f>INDEX(A22:A26,MATCH(MAX(C22:C26),C22:C26,0))</f>
        <v>Laptop</v>
      </c>
    </row>
    <row r="49" spans="1:12" x14ac:dyDescent="0.25">
      <c r="A49" t="s">
        <v>125</v>
      </c>
      <c r="B49" s="16" t="s">
        <v>16</v>
      </c>
    </row>
    <row r="50" spans="1:12" x14ac:dyDescent="0.25">
      <c r="A50" t="s">
        <v>126</v>
      </c>
      <c r="B50" s="16" t="s">
        <v>127</v>
      </c>
    </row>
    <row r="51" spans="1:12" ht="105" x14ac:dyDescent="0.25">
      <c r="A51" s="9" t="s">
        <v>128</v>
      </c>
      <c r="B51" s="15" t="s">
        <v>129</v>
      </c>
      <c r="C51" s="8"/>
      <c r="D51" s="8"/>
      <c r="E51" s="8"/>
      <c r="F51" s="8"/>
      <c r="G51" s="8"/>
      <c r="H51" s="8"/>
      <c r="I51" s="8"/>
      <c r="J51" s="8"/>
      <c r="K51" s="8"/>
      <c r="L51" s="8"/>
    </row>
  </sheetData>
  <mergeCells count="5">
    <mergeCell ref="A1:C1"/>
    <mergeCell ref="A10:C10"/>
    <mergeCell ref="A20:C20"/>
    <mergeCell ref="A28:C28"/>
    <mergeCell ref="A35:C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919DB-622E-42DE-8D65-232273B570C7}">
  <dimension ref="A1:U11"/>
  <sheetViews>
    <sheetView showGridLines="0" tabSelected="1" zoomScale="84" zoomScaleNormal="84" workbookViewId="0">
      <selection activeCell="T7" sqref="T7"/>
    </sheetView>
  </sheetViews>
  <sheetFormatPr defaultRowHeight="15" x14ac:dyDescent="0.25"/>
  <cols>
    <col min="1" max="16384" width="9.140625" style="10"/>
  </cols>
  <sheetData>
    <row r="1" spans="1:21" ht="35.1" customHeight="1" x14ac:dyDescent="0.25">
      <c r="A1" s="19" t="s">
        <v>130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</row>
    <row r="11" spans="1:21" x14ac:dyDescent="0.25">
      <c r="D11" s="11"/>
    </row>
  </sheetData>
  <mergeCells count="1">
    <mergeCell ref="A1:U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Analysis</vt:lpstr>
      <vt:lpstr>Sales_Data</vt:lpstr>
      <vt:lpstr>MIS_Report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manisha</dc:creator>
  <cp:lastModifiedBy>manu manisha</cp:lastModifiedBy>
  <dcterms:created xsi:type="dcterms:W3CDTF">2026-10-05T04:52:53Z</dcterms:created>
  <dcterms:modified xsi:type="dcterms:W3CDTF">2026-10-07T16:38:09Z</dcterms:modified>
</cp:coreProperties>
</file>